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U6079025\Downloads\Career_Upgrade_2026\Excel\"/>
    </mc:Choice>
  </mc:AlternateContent>
  <xr:revisionPtr revIDLastSave="0" documentId="13_ncr:1_{1FFC0A1C-F681-4642-9F0C-DE31B9292E47}" xr6:coauthVersionLast="47" xr6:coauthVersionMax="47" xr10:uidLastSave="{00000000-0000-0000-0000-000000000000}"/>
  <bookViews>
    <workbookView xWindow="-11472" yWindow="12948" windowWidth="23256" windowHeight="12456" xr2:uid="{00000000-000D-0000-FFFF-FFFF00000000}"/>
  </bookViews>
  <sheets>
    <sheet name="DASHBOARD" sheetId="3" r:id="rId1"/>
    <sheet name="Supply_Chain_Data" sheetId="1" r:id="rId2"/>
    <sheet name="Pivot" sheetId="2" r:id="rId3"/>
  </sheets>
  <definedNames>
    <definedName name="Slicer_Category">#N/A</definedName>
    <definedName name="Slicer_Delivery_Status">#N/A</definedName>
    <definedName name="Slicer_Order_Date2">#N/A</definedName>
    <definedName name="Slicer_Region">#N/A</definedName>
    <definedName name="Slicer_Warehous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3" l="1"/>
  <c r="O14" i="3"/>
  <c r="O1" i="3"/>
  <c r="C1" i="3"/>
  <c r="K1" i="3"/>
  <c r="E1" i="3"/>
  <c r="M1" i="3"/>
  <c r="I1" i="3"/>
  <c r="G1" i="3"/>
</calcChain>
</file>

<file path=xl/sharedStrings.xml><?xml version="1.0" encoding="utf-8"?>
<sst xmlns="http://schemas.openxmlformats.org/spreadsheetml/2006/main" count="782" uniqueCount="226">
  <si>
    <t>Order_ID</t>
  </si>
  <si>
    <t>Order_Date</t>
  </si>
  <si>
    <t>Customer</t>
  </si>
  <si>
    <t>Region</t>
  </si>
  <si>
    <t>Warehouse</t>
  </si>
  <si>
    <t>Category</t>
  </si>
  <si>
    <t>Product</t>
  </si>
  <si>
    <t>Quantity</t>
  </si>
  <si>
    <t>Unit_Price</t>
  </si>
  <si>
    <t>Revenue</t>
  </si>
  <si>
    <t>Delivery_Days</t>
  </si>
  <si>
    <t>Delivery_Status</t>
  </si>
  <si>
    <t>2026-01-30</t>
  </si>
  <si>
    <t>Customer_001</t>
  </si>
  <si>
    <t>South</t>
  </si>
  <si>
    <t>WH-A</t>
  </si>
  <si>
    <t>Home</t>
  </si>
  <si>
    <t>Lamp</t>
  </si>
  <si>
    <t>Delayed</t>
  </si>
  <si>
    <t>2026-04-11</t>
  </si>
  <si>
    <t>Customer_002</t>
  </si>
  <si>
    <t>West</t>
  </si>
  <si>
    <t>Electronics</t>
  </si>
  <si>
    <t>Laptop</t>
  </si>
  <si>
    <t>On-Time</t>
  </si>
  <si>
    <t>2026-02-11</t>
  </si>
  <si>
    <t>Customer_003</t>
  </si>
  <si>
    <t>Headphones</t>
  </si>
  <si>
    <t>2026-02-19</t>
  </si>
  <si>
    <t>Customer_004</t>
  </si>
  <si>
    <t>WH-B</t>
  </si>
  <si>
    <t>2026-04-03</t>
  </si>
  <si>
    <t>Customer_005</t>
  </si>
  <si>
    <t>North</t>
  </si>
  <si>
    <t>Grocery</t>
  </si>
  <si>
    <t>Tea</t>
  </si>
  <si>
    <t>2026-04-15</t>
  </si>
  <si>
    <t>Customer_006</t>
  </si>
  <si>
    <t>WH-C</t>
  </si>
  <si>
    <t>Chair</t>
  </si>
  <si>
    <t>2026-01-02</t>
  </si>
  <si>
    <t>Customer_007</t>
  </si>
  <si>
    <t>2026-06-05</t>
  </si>
  <si>
    <t>Customer_008</t>
  </si>
  <si>
    <t>2026-04-16</t>
  </si>
  <si>
    <t>Customer_009</t>
  </si>
  <si>
    <t>East</t>
  </si>
  <si>
    <t>Fashion</t>
  </si>
  <si>
    <t>Shoes</t>
  </si>
  <si>
    <t>2026-01-08</t>
  </si>
  <si>
    <t>Customer_010</t>
  </si>
  <si>
    <t>2026-03-16</t>
  </si>
  <si>
    <t>Customer_011</t>
  </si>
  <si>
    <t>Rice</t>
  </si>
  <si>
    <t>2026-01-31</t>
  </si>
  <si>
    <t>Customer_012</t>
  </si>
  <si>
    <t>2026-03-04</t>
  </si>
  <si>
    <t>Customer_013</t>
  </si>
  <si>
    <t>2026-01-16</t>
  </si>
  <si>
    <t>Customer_014</t>
  </si>
  <si>
    <t>Jacket</t>
  </si>
  <si>
    <t>2026-03-31</t>
  </si>
  <si>
    <t>Customer_015</t>
  </si>
  <si>
    <t>Mobile</t>
  </si>
  <si>
    <t>2026-02-27</t>
  </si>
  <si>
    <t>Customer_016</t>
  </si>
  <si>
    <t>2026-06-16</t>
  </si>
  <si>
    <t>Customer_017</t>
  </si>
  <si>
    <t>2026-06-08</t>
  </si>
  <si>
    <t>Customer_018</t>
  </si>
  <si>
    <t>T-Shirt</t>
  </si>
  <si>
    <t>2026-03-28</t>
  </si>
  <si>
    <t>Customer_019</t>
  </si>
  <si>
    <t>2026-06-11</t>
  </si>
  <si>
    <t>Customer_020</t>
  </si>
  <si>
    <t>2026-05-19</t>
  </si>
  <si>
    <t>Customer_021</t>
  </si>
  <si>
    <t>2026-01-28</t>
  </si>
  <si>
    <t>Customer_022</t>
  </si>
  <si>
    <t>2026-06-09</t>
  </si>
  <si>
    <t>Customer_023</t>
  </si>
  <si>
    <t>2026-01-14</t>
  </si>
  <si>
    <t>Customer_024</t>
  </si>
  <si>
    <t>2026-01-21</t>
  </si>
  <si>
    <t>Customer_025</t>
  </si>
  <si>
    <t>2026-05-24</t>
  </si>
  <si>
    <t>Customer_026</t>
  </si>
  <si>
    <t>Table</t>
  </si>
  <si>
    <t>2026-05-01</t>
  </si>
  <si>
    <t>Customer_027</t>
  </si>
  <si>
    <t>2026-06-24</t>
  </si>
  <si>
    <t>Customer_028</t>
  </si>
  <si>
    <t>Oil</t>
  </si>
  <si>
    <t>2026-05-14</t>
  </si>
  <si>
    <t>Customer_029</t>
  </si>
  <si>
    <t>2026-05-08</t>
  </si>
  <si>
    <t>Customer_030</t>
  </si>
  <si>
    <t>Customer_031</t>
  </si>
  <si>
    <t>2026-03-05</t>
  </si>
  <si>
    <t>Customer_032</t>
  </si>
  <si>
    <t>2026-06-21</t>
  </si>
  <si>
    <t>Customer_033</t>
  </si>
  <si>
    <t>2026-02-24</t>
  </si>
  <si>
    <t>Customer_034</t>
  </si>
  <si>
    <t>2026-05-18</t>
  </si>
  <si>
    <t>Customer_035</t>
  </si>
  <si>
    <t>2026-01-18</t>
  </si>
  <si>
    <t>Customer_036</t>
  </si>
  <si>
    <t>Customer_037</t>
  </si>
  <si>
    <t>Customer_038</t>
  </si>
  <si>
    <t>2026-04-14</t>
  </si>
  <si>
    <t>Customer_039</t>
  </si>
  <si>
    <t>2026-01-09</t>
  </si>
  <si>
    <t>Customer_040</t>
  </si>
  <si>
    <t>2026-05-23</t>
  </si>
  <si>
    <t>Customer_041</t>
  </si>
  <si>
    <t>2026-04-26</t>
  </si>
  <si>
    <t>Customer_042</t>
  </si>
  <si>
    <t>2026-04-21</t>
  </si>
  <si>
    <t>Customer_043</t>
  </si>
  <si>
    <t>2026-06-15</t>
  </si>
  <si>
    <t>Customer_044</t>
  </si>
  <si>
    <t>2026-05-03</t>
  </si>
  <si>
    <t>Customer_045</t>
  </si>
  <si>
    <t>2026-06-18</t>
  </si>
  <si>
    <t>Customer_046</t>
  </si>
  <si>
    <t>Customer_047</t>
  </si>
  <si>
    <t>2026-02-05</t>
  </si>
  <si>
    <t>Customer_048</t>
  </si>
  <si>
    <t>2026-04-20</t>
  </si>
  <si>
    <t>Customer_049</t>
  </si>
  <si>
    <t>Customer_050</t>
  </si>
  <si>
    <t>2026-05-05</t>
  </si>
  <si>
    <t>Customer_051</t>
  </si>
  <si>
    <t>2026-05-12</t>
  </si>
  <si>
    <t>Customer_052</t>
  </si>
  <si>
    <t>2026-03-18</t>
  </si>
  <si>
    <t>Customer_053</t>
  </si>
  <si>
    <t>2026-03-02</t>
  </si>
  <si>
    <t>Customer_054</t>
  </si>
  <si>
    <t>2026-02-23</t>
  </si>
  <si>
    <t>Customer_055</t>
  </si>
  <si>
    <t>2026-02-13</t>
  </si>
  <si>
    <t>Customer_056</t>
  </si>
  <si>
    <t>2026-05-31</t>
  </si>
  <si>
    <t>Customer_057</t>
  </si>
  <si>
    <t>Customer_058</t>
  </si>
  <si>
    <t>2026-01-06</t>
  </si>
  <si>
    <t>Customer_059</t>
  </si>
  <si>
    <t>2026-01-10</t>
  </si>
  <si>
    <t>Customer_060</t>
  </si>
  <si>
    <t>Customer_061</t>
  </si>
  <si>
    <t>2026-04-05</t>
  </si>
  <si>
    <t>Customer_062</t>
  </si>
  <si>
    <t>2026-03-01</t>
  </si>
  <si>
    <t>Customer_063</t>
  </si>
  <si>
    <t>Customer_064</t>
  </si>
  <si>
    <t>2026-02-17</t>
  </si>
  <si>
    <t>Customer_065</t>
  </si>
  <si>
    <t>Customer_066</t>
  </si>
  <si>
    <t>Customer_067</t>
  </si>
  <si>
    <t>2026-01-11</t>
  </si>
  <si>
    <t>Customer_068</t>
  </si>
  <si>
    <t>2026-02-14</t>
  </si>
  <si>
    <t>Customer_069</t>
  </si>
  <si>
    <t>2026-04-10</t>
  </si>
  <si>
    <t>Customer_070</t>
  </si>
  <si>
    <t>2026-06-28</t>
  </si>
  <si>
    <t>Customer_071</t>
  </si>
  <si>
    <t>Customer_072</t>
  </si>
  <si>
    <t>2026-06-20</t>
  </si>
  <si>
    <t>Customer_073</t>
  </si>
  <si>
    <t>Customer_074</t>
  </si>
  <si>
    <t>Customer_075</t>
  </si>
  <si>
    <t>2026-04-22</t>
  </si>
  <si>
    <t>Customer_076</t>
  </si>
  <si>
    <t>2026-02-01</t>
  </si>
  <si>
    <t>Customer_077</t>
  </si>
  <si>
    <t>Customer_078</t>
  </si>
  <si>
    <t>2026-01-01</t>
  </si>
  <si>
    <t>Customer_079</t>
  </si>
  <si>
    <t>2026-03-08</t>
  </si>
  <si>
    <t>Customer_080</t>
  </si>
  <si>
    <t>2026-05-16</t>
  </si>
  <si>
    <t>Customer_081</t>
  </si>
  <si>
    <t>Customer_082</t>
  </si>
  <si>
    <t>2026-03-25</t>
  </si>
  <si>
    <t>Customer_083</t>
  </si>
  <si>
    <t>Customer_084</t>
  </si>
  <si>
    <t>2026-01-24</t>
  </si>
  <si>
    <t>Customer_085</t>
  </si>
  <si>
    <t>Customer_086</t>
  </si>
  <si>
    <t>2026-04-24</t>
  </si>
  <si>
    <t>Customer_087</t>
  </si>
  <si>
    <t>2026-03-09</t>
  </si>
  <si>
    <t>Customer_088</t>
  </si>
  <si>
    <t>2026-04-07</t>
  </si>
  <si>
    <t>Customer_089</t>
  </si>
  <si>
    <t>2026-05-30</t>
  </si>
  <si>
    <t>Customer_090</t>
  </si>
  <si>
    <t>Customer_091</t>
  </si>
  <si>
    <t>Customer_092</t>
  </si>
  <si>
    <t>2026-04-25</t>
  </si>
  <si>
    <t>Customer_093</t>
  </si>
  <si>
    <t>Customer_094</t>
  </si>
  <si>
    <t>2026-02-06</t>
  </si>
  <si>
    <t>Customer_095</t>
  </si>
  <si>
    <t>Customer_096</t>
  </si>
  <si>
    <t>Customer_097</t>
  </si>
  <si>
    <t>2026-02-25</t>
  </si>
  <si>
    <t>Customer_098</t>
  </si>
  <si>
    <t>2026-04-08</t>
  </si>
  <si>
    <t>Customer_099</t>
  </si>
  <si>
    <t>Customer_100</t>
  </si>
  <si>
    <t>Row Labels</t>
  </si>
  <si>
    <t>Grand Total</t>
  </si>
  <si>
    <t>Count of Order_ID</t>
  </si>
  <si>
    <t>Sum of Revenue</t>
  </si>
  <si>
    <t>(All)</t>
  </si>
  <si>
    <t>Average of Delivery_Days</t>
  </si>
  <si>
    <t>Jan 2026</t>
  </si>
  <si>
    <t>Feb 2026</t>
  </si>
  <si>
    <t>Mar 2026</t>
  </si>
  <si>
    <t>May 2026</t>
  </si>
  <si>
    <t>Apr 2026</t>
  </si>
  <si>
    <t>Jun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</si>
</sst>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20"/>
      <color rgb="FF00B050"/>
      <name val="Calibri"/>
      <family val="2"/>
      <scheme val="minor"/>
    </font>
    <font>
      <b/>
      <sz val="20"/>
      <color rgb="FFFF0000"/>
      <name val="Calibri"/>
      <family val="2"/>
      <scheme val="minor"/>
    </font>
    <font>
      <b/>
      <sz val="20"/>
      <color rgb="FF7030A0"/>
      <name val="Calibri"/>
      <family val="2"/>
      <scheme val="minor"/>
    </font>
    <font>
      <b/>
      <sz val="20"/>
      <color theme="9" tint="-0.249977111117893"/>
      <name val="Calibri"/>
      <family val="2"/>
      <scheme val="minor"/>
    </font>
    <font>
      <b/>
      <sz val="20"/>
      <color theme="9" tint="-0.499984740745262"/>
      <name val="Calibri"/>
      <family val="2"/>
      <scheme val="minor"/>
    </font>
    <font>
      <b/>
      <sz val="22"/>
      <color theme="1"/>
      <name val="Calibri"/>
      <family val="2"/>
      <scheme val="minor"/>
    </font>
    <font>
      <b/>
      <sz val="16"/>
      <color rgb="FF00B050"/>
      <name val="Calibri"/>
      <family val="2"/>
      <scheme val="minor"/>
    </font>
    <font>
      <b/>
      <sz val="22"/>
      <color theme="7" tint="-0.249977111117893"/>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Border="1"/>
    <xf numFmtId="0" fontId="4" fillId="3" borderId="0" xfId="0" applyNumberFormat="1" applyFont="1" applyFill="1" applyBorder="1" applyAlignment="1">
      <alignment horizontal="left" vertical="center" indent="14"/>
    </xf>
    <xf numFmtId="0" fontId="8" fillId="3" borderId="0" xfId="0" applyNumberFormat="1" applyFont="1" applyFill="1" applyBorder="1" applyAlignment="1">
      <alignment horizontal="left" vertical="center" indent="7"/>
    </xf>
    <xf numFmtId="0" fontId="0" fillId="3" borderId="0" xfId="0" applyFill="1" applyBorder="1" applyAlignment="1">
      <alignment horizontal="center"/>
    </xf>
    <xf numFmtId="0" fontId="9" fillId="3" borderId="0" xfId="0" applyFont="1" applyFill="1" applyBorder="1" applyAlignment="1">
      <alignment horizontal="center" vertical="center"/>
    </xf>
    <xf numFmtId="0" fontId="6" fillId="3" borderId="0" xfId="0" applyFont="1" applyFill="1" applyBorder="1" applyAlignment="1">
      <alignment horizontal="left" vertical="center" indent="21"/>
    </xf>
    <xf numFmtId="0" fontId="2" fillId="3" borderId="0" xfId="0" applyFont="1" applyFill="1" applyBorder="1" applyAlignment="1">
      <alignment horizontal="left" vertical="center" indent="17"/>
    </xf>
    <xf numFmtId="0" fontId="2" fillId="3" borderId="0" xfId="0" applyFont="1" applyFill="1" applyBorder="1" applyAlignment="1">
      <alignment horizontal="left" vertical="center" indent="24"/>
    </xf>
    <xf numFmtId="0" fontId="4" fillId="3" borderId="0" xfId="0" applyFont="1" applyFill="1" applyBorder="1" applyAlignment="1">
      <alignment horizontal="left" vertical="center" indent="24"/>
    </xf>
    <xf numFmtId="0" fontId="5" fillId="3" borderId="0" xfId="0" applyFont="1" applyFill="1" applyBorder="1" applyAlignment="1">
      <alignment horizontal="left" vertical="center" indent="20"/>
    </xf>
    <xf numFmtId="10" fontId="3" fillId="3" borderId="0" xfId="0" applyNumberFormat="1" applyFont="1" applyFill="1" applyBorder="1" applyAlignment="1">
      <alignment horizontal="left" vertical="center" indent="21"/>
    </xf>
    <xf numFmtId="0" fontId="0" fillId="3" borderId="0" xfId="0" applyFill="1" applyBorder="1" applyAlignment="1">
      <alignment horizontal="left" indent="2"/>
    </xf>
    <xf numFmtId="0" fontId="0" fillId="3" borderId="0" xfId="0" applyFill="1" applyBorder="1"/>
    <xf numFmtId="0" fontId="7" fillId="0" borderId="0" xfId="0" applyFont="1" applyBorder="1" applyAlignment="1">
      <alignment horizontal="left" vertical="center" indent="22"/>
    </xf>
  </cellXfs>
  <cellStyles count="1">
    <cellStyle name="Normal" xfId="0" builtinId="0"/>
  </cellStyles>
  <dxfs count="15">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[Supply_Chain_Dataset_100_Records.xlsx]DASHBOARD!PivotTable15</c:name>
    <c:fmtId val="0"/>
  </c:pivotSource>
  <c:chart>
    <c:title>
      <c:tx>
        <c:rich>
          <a:bodyPr rot="0" spcFirstLastPara="1" vertOverflow="ellipsis" vert="horz" wrap="square" anchor="ctr" anchorCtr="1"/>
          <a:lstStyle/>
          <a:p>
            <a:pPr algn="ctr" rtl="0">
              <a:defRPr lang="en-US" sz="2400" b="1" i="0" u="none" strike="noStrike" kern="1200" spc="0" baseline="0">
                <a:solidFill>
                  <a:schemeClr val="accent1">
                    <a:lumMod val="75000"/>
                  </a:schemeClr>
                </a:solidFill>
                <a:latin typeface="+mn-lt"/>
                <a:ea typeface="+mn-ea"/>
                <a:cs typeface="+mn-cs"/>
              </a:defRPr>
            </a:pPr>
            <a:r>
              <a:rPr lang="en-US" sz="2400" b="1" i="0" u="none" strike="noStrike" kern="1200" spc="0" baseline="0">
                <a:solidFill>
                  <a:schemeClr val="accent1">
                    <a:lumMod val="75000"/>
                  </a:schemeClr>
                </a:solidFill>
                <a:latin typeface="+mn-lt"/>
                <a:ea typeface="+mn-ea"/>
                <a:cs typeface="+mn-cs"/>
              </a:rPr>
              <a:t>ORDER BY REGION</a:t>
            </a:r>
          </a:p>
        </c:rich>
      </c:tx>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DASHBOARD!$V$8</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DASHBOARD!$U$9:$U$13</c:f>
              <c:strCache>
                <c:ptCount val="4"/>
                <c:pt idx="0">
                  <c:v>East</c:v>
                </c:pt>
                <c:pt idx="1">
                  <c:v>North</c:v>
                </c:pt>
                <c:pt idx="2">
                  <c:v>South</c:v>
                </c:pt>
                <c:pt idx="3">
                  <c:v>West</c:v>
                </c:pt>
              </c:strCache>
            </c:strRef>
          </c:cat>
          <c:val>
            <c:numRef>
              <c:f>DASHBOARD!$V$9:$V$13</c:f>
              <c:numCache>
                <c:formatCode>General</c:formatCode>
                <c:ptCount val="4"/>
                <c:pt idx="0">
                  <c:v>24</c:v>
                </c:pt>
                <c:pt idx="1">
                  <c:v>26</c:v>
                </c:pt>
                <c:pt idx="2">
                  <c:v>28</c:v>
                </c:pt>
                <c:pt idx="3">
                  <c:v>22</c:v>
                </c:pt>
              </c:numCache>
            </c:numRef>
          </c:val>
          <c:extLst>
            <c:ext xmlns:c16="http://schemas.microsoft.com/office/drawing/2014/chart" uri="{C3380CC4-5D6E-409C-BE32-E72D297353CC}">
              <c16:uniqueId val="{00000000-CEA4-44D8-9533-CB91DC05883A}"/>
            </c:ext>
          </c:extLst>
        </c:ser>
        <c:dLbls>
          <c:dLblPos val="outEnd"/>
          <c:showLegendKey val="0"/>
          <c:showVal val="1"/>
          <c:showCatName val="0"/>
          <c:showSerName val="0"/>
          <c:showPercent val="0"/>
          <c:showBubbleSize val="0"/>
        </c:dLbls>
        <c:gapWidth val="219"/>
        <c:overlap val="-27"/>
        <c:axId val="153696816"/>
        <c:axId val="802338752"/>
      </c:barChart>
      <c:catAx>
        <c:axId val="153696816"/>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802338752"/>
        <c:crosses val="autoZero"/>
        <c:auto val="1"/>
        <c:lblAlgn val="ctr"/>
        <c:lblOffset val="100"/>
        <c:noMultiLvlLbl val="0"/>
      </c:catAx>
      <c:valAx>
        <c:axId val="802338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a:t>NO OF OERDERS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5369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[Supply_Chain_Dataset_100_Records.xlsx]DASHBOARD!PivotTable16</c:name>
    <c:fmtId val="4"/>
  </c:pivotSource>
  <c:chart>
    <c:title>
      <c:tx>
        <c:rich>
          <a:bodyPr rot="0" spcFirstLastPara="1" vertOverflow="ellipsis" vert="horz" wrap="square" anchor="ctr" anchorCtr="1"/>
          <a:lstStyle/>
          <a:p>
            <a:pPr algn="ctr" rtl="0">
              <a:defRPr lang="en-US" sz="2400" b="1" i="0" u="none" strike="noStrike" kern="1200" cap="all" spc="0" baseline="0">
                <a:solidFill>
                  <a:schemeClr val="accent1">
                    <a:lumMod val="75000"/>
                  </a:schemeClr>
                </a:solidFill>
                <a:latin typeface="+mn-lt"/>
                <a:ea typeface="+mn-ea"/>
                <a:cs typeface="+mn-cs"/>
              </a:defRPr>
            </a:pPr>
            <a:r>
              <a:rPr lang="en-US" sz="2400" b="1" i="0" u="none" strike="noStrike" kern="1200" cap="all" spc="0" baseline="0">
                <a:solidFill>
                  <a:schemeClr val="accent1">
                    <a:lumMod val="75000"/>
                  </a:schemeClr>
                </a:solidFill>
                <a:latin typeface="+mn-lt"/>
                <a:ea typeface="+mn-ea"/>
                <a:cs typeface="+mn-cs"/>
              </a:rPr>
              <a:t>REVENUE BY CATEGORY</a:t>
            </a:r>
          </a:p>
        </c:rich>
      </c:tx>
      <c:overlay val="0"/>
      <c:spPr>
        <a:noFill/>
        <a:ln>
          <a:noFill/>
        </a:ln>
        <a:effectLst/>
      </c:spPr>
      <c:txPr>
        <a:bodyPr rot="0" spcFirstLastPara="1" vertOverflow="ellipsis" vert="horz" wrap="square" anchor="ctr" anchorCtr="1"/>
        <a:lstStyle/>
        <a:p>
          <a:pPr algn="ctr" rtl="0">
            <a:defRPr lang="en-US" sz="2400" b="1" i="0" u="none" strike="noStrike" kern="1200" cap="all" spc="0" baseline="0">
              <a:solidFill>
                <a:schemeClr val="accent1">
                  <a:lumMod val="75000"/>
                </a:schemeClr>
              </a:solidFill>
              <a:latin typeface="+mn-lt"/>
              <a:ea typeface="+mn-ea"/>
              <a:cs typeface="+mn-cs"/>
            </a:defRPr>
          </a:pPr>
          <a:endParaRPr lang="en-US"/>
        </a:p>
      </c:txPr>
    </c:title>
    <c:autoTitleDeleted val="0"/>
    <c:pivotFmts>
      <c:pivotFmt>
        <c:idx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DASHBOARD!$V$17</c:f>
              <c:strCache>
                <c:ptCount val="1"/>
                <c:pt idx="0">
                  <c:v>Total</c:v>
                </c:pt>
              </c:strCache>
            </c:strRef>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DASHBOARD!$U$18:$U$22</c:f>
              <c:strCache>
                <c:ptCount val="4"/>
                <c:pt idx="0">
                  <c:v>Electronics</c:v>
                </c:pt>
                <c:pt idx="1">
                  <c:v>Home</c:v>
                </c:pt>
                <c:pt idx="2">
                  <c:v>Fashion</c:v>
                </c:pt>
                <c:pt idx="3">
                  <c:v>Grocery</c:v>
                </c:pt>
              </c:strCache>
            </c:strRef>
          </c:cat>
          <c:val>
            <c:numRef>
              <c:f>DASHBOARD!$V$18:$V$22</c:f>
              <c:numCache>
                <c:formatCode>General</c:formatCode>
                <c:ptCount val="4"/>
                <c:pt idx="0">
                  <c:v>3513500</c:v>
                </c:pt>
                <c:pt idx="1">
                  <c:v>388500</c:v>
                </c:pt>
                <c:pt idx="2">
                  <c:v>319200</c:v>
                </c:pt>
                <c:pt idx="3">
                  <c:v>206400</c:v>
                </c:pt>
              </c:numCache>
            </c:numRef>
          </c:val>
          <c:extLst>
            <c:ext xmlns:c16="http://schemas.microsoft.com/office/drawing/2014/chart" uri="{C3380CC4-5D6E-409C-BE32-E72D297353CC}">
              <c16:uniqueId val="{00000000-C154-465C-912B-BD45298CAE6D}"/>
            </c:ext>
          </c:extLst>
        </c:ser>
        <c:dLbls>
          <c:dLblPos val="outEnd"/>
          <c:showLegendKey val="0"/>
          <c:showVal val="1"/>
          <c:showCatName val="0"/>
          <c:showSerName val="0"/>
          <c:showPercent val="0"/>
          <c:showBubbleSize val="0"/>
        </c:dLbls>
        <c:gapWidth val="100"/>
        <c:axId val="643331680"/>
        <c:axId val="643332160"/>
      </c:barChart>
      <c:catAx>
        <c:axId val="643331680"/>
        <c:scaling>
          <c:orientation val="minMax"/>
        </c:scaling>
        <c:delete val="0"/>
        <c:axPos val="l"/>
        <c:title>
          <c:tx>
            <c:rich>
              <a:bodyPr rot="-5400000" spcFirstLastPara="1" vertOverflow="ellipsis" vert="horz" wrap="square" anchor="ctr" anchorCtr="1"/>
              <a:lstStyle/>
              <a:p>
                <a:pPr>
                  <a:defRPr sz="1200" b="1" i="0" u="none" strike="noStrike" kern="1200" cap="all" baseline="0">
                    <a:solidFill>
                      <a:schemeClr val="tx1">
                        <a:lumMod val="50000"/>
                        <a:lumOff val="50000"/>
                      </a:schemeClr>
                    </a:solidFill>
                    <a:latin typeface="+mn-lt"/>
                    <a:ea typeface="+mn-ea"/>
                    <a:cs typeface="+mn-cs"/>
                  </a:defRPr>
                </a:pPr>
                <a:r>
                  <a:rPr lang="en-US"/>
                  <a:t>CATEGORY</a:t>
                </a:r>
              </a:p>
            </c:rich>
          </c:tx>
          <c:overlay val="0"/>
          <c:spPr>
            <a:noFill/>
            <a:ln>
              <a:noFill/>
            </a:ln>
            <a:effectLst/>
          </c:spPr>
          <c:txPr>
            <a:bodyPr rot="-5400000" spcFirstLastPara="1" vertOverflow="ellipsis" vert="horz" wrap="square" anchor="ctr" anchorCtr="1"/>
            <a:lstStyle/>
            <a:p>
              <a:pPr>
                <a:defRPr sz="1200" b="1"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50000"/>
                    <a:lumOff val="50000"/>
                  </a:schemeClr>
                </a:solidFill>
                <a:latin typeface="+mn-lt"/>
                <a:ea typeface="+mn-ea"/>
                <a:cs typeface="+mn-cs"/>
              </a:defRPr>
            </a:pPr>
            <a:endParaRPr lang="en-US"/>
          </a:p>
        </c:txPr>
        <c:crossAx val="643332160"/>
        <c:crosses val="autoZero"/>
        <c:auto val="1"/>
        <c:lblAlgn val="ctr"/>
        <c:lblOffset val="100"/>
        <c:noMultiLvlLbl val="0"/>
      </c:catAx>
      <c:valAx>
        <c:axId val="6433321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cap="all" baseline="0">
                    <a:solidFill>
                      <a:schemeClr val="tx1">
                        <a:lumMod val="50000"/>
                        <a:lumOff val="50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200" b="1"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50000"/>
                    <a:lumOff val="50000"/>
                  </a:schemeClr>
                </a:solidFill>
                <a:latin typeface="+mn-lt"/>
                <a:ea typeface="+mn-ea"/>
                <a:cs typeface="+mn-cs"/>
              </a:defRPr>
            </a:pPr>
            <a:endParaRPr lang="en-US"/>
          </a:p>
        </c:txPr>
        <c:crossAx val="64333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sz="1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[Supply_Chain_Dataset_100_Records.xlsx]DASHBOARD!PivotTable17</c:name>
    <c:fmtId val="11"/>
  </c:pivotSource>
  <c:chart>
    <c:title>
      <c:tx>
        <c:rich>
          <a:bodyPr rot="0" spcFirstLastPara="1" vertOverflow="ellipsis" vert="horz" wrap="square" anchor="ctr" anchorCtr="1"/>
          <a:lstStyle/>
          <a:p>
            <a:pPr algn="ctr" rtl="0">
              <a:defRPr lang="en-US" sz="2400" b="1" i="0" u="none" strike="noStrike" kern="1200" cap="all" spc="0" baseline="0">
                <a:solidFill>
                  <a:schemeClr val="accent1">
                    <a:lumMod val="75000"/>
                  </a:schemeClr>
                </a:solidFill>
                <a:latin typeface="+mn-lt"/>
                <a:ea typeface="+mn-ea"/>
                <a:cs typeface="+mn-cs"/>
              </a:defRPr>
            </a:pPr>
            <a:r>
              <a:rPr lang="en-US" sz="2400" b="1" i="0" u="none" strike="noStrike" kern="1200" spc="0" baseline="0">
                <a:solidFill>
                  <a:schemeClr val="accent1">
                    <a:lumMod val="75000"/>
                  </a:schemeClr>
                </a:solidFill>
                <a:latin typeface="+mn-lt"/>
                <a:ea typeface="+mn-ea"/>
                <a:cs typeface="+mn-cs"/>
              </a:rPr>
              <a:t>dELIVERY STATUS	</a:t>
            </a:r>
          </a:p>
        </c:rich>
      </c:tx>
      <c:overlay val="0"/>
      <c:spPr>
        <a:noFill/>
        <a:ln>
          <a:noFill/>
        </a:ln>
        <a:effectLst/>
      </c:spPr>
      <c:txPr>
        <a:bodyPr rot="0" spcFirstLastPara="1" vertOverflow="ellipsis" vert="horz" wrap="square" anchor="ctr" anchorCtr="1"/>
        <a:lstStyle/>
        <a:p>
          <a:pPr algn="ctr" rtl="0">
            <a:defRPr lang="en-US" sz="2400" b="1" i="0" u="none" strike="noStrike" kern="1200" cap="all"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2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DASHBOARD!$V$25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AAB-4F76-BA87-DA5B19D016EA}"/>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AAB-4F76-BA87-DA5B19D016EA}"/>
              </c:ext>
            </c:extLst>
          </c:dPt>
          <c:dLbls>
            <c:spPr>
              <a:noFill/>
              <a:ln>
                <a:noFill/>
              </a:ln>
              <a:effectLst/>
            </c:spPr>
            <c:txPr>
              <a:bodyPr rot="0" spcFirstLastPara="1" vertOverflow="ellipsis" vert="horz" wrap="square" anchor="ctr" anchorCtr="1"/>
              <a:lstStyle/>
              <a:p>
                <a:pPr>
                  <a:defRPr sz="2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DASHBOARD!$U$26:$U$28</c:f>
              <c:strCache>
                <c:ptCount val="2"/>
                <c:pt idx="0">
                  <c:v>Delayed</c:v>
                </c:pt>
                <c:pt idx="1">
                  <c:v>On-Time</c:v>
                </c:pt>
              </c:strCache>
            </c:strRef>
          </c:cat>
          <c:val>
            <c:numRef>
              <c:f>DASHBOARD!$V$26:$V$28</c:f>
              <c:numCache>
                <c:formatCode>General</c:formatCode>
                <c:ptCount val="2"/>
                <c:pt idx="0">
                  <c:v>48</c:v>
                </c:pt>
                <c:pt idx="1">
                  <c:v>52</c:v>
                </c:pt>
              </c:numCache>
            </c:numRef>
          </c:val>
          <c:extLst>
            <c:ext xmlns:c16="http://schemas.microsoft.com/office/drawing/2014/chart" uri="{C3380CC4-5D6E-409C-BE32-E72D297353CC}">
              <c16:uniqueId val="{00000000-B023-401A-9972-43E1C73426B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[Supply_Chain_Dataset_100_Records.xlsx]DASHBOARD!PivotTable18</c:name>
    <c:fmtId val="18"/>
  </c:pivotSource>
  <c:chart>
    <c:title>
      <c:tx>
        <c:rich>
          <a:bodyPr rot="0" spcFirstLastPara="1" vertOverflow="ellipsis" vert="horz" wrap="square" anchor="ctr" anchorCtr="1"/>
          <a:lstStyle/>
          <a:p>
            <a:pPr algn="ctr" rtl="0">
              <a:defRPr lang="en-US" sz="2400" b="1" i="0" u="none" strike="noStrike" kern="1200" spc="0" baseline="0">
                <a:solidFill>
                  <a:schemeClr val="accent1">
                    <a:lumMod val="75000"/>
                  </a:schemeClr>
                </a:solidFill>
                <a:latin typeface="+mn-lt"/>
                <a:ea typeface="+mn-ea"/>
                <a:cs typeface="+mn-cs"/>
              </a:defRPr>
            </a:pPr>
            <a:r>
              <a:rPr lang="en-US" sz="2400" b="1" i="0" u="none" strike="noStrike" kern="1200" spc="0" baseline="0">
                <a:solidFill>
                  <a:schemeClr val="accent1">
                    <a:lumMod val="75000"/>
                  </a:schemeClr>
                </a:solidFill>
                <a:latin typeface="+mn-lt"/>
                <a:ea typeface="+mn-ea"/>
                <a:cs typeface="+mn-cs"/>
              </a:rPr>
              <a:t>OERDER BY WAREHOUSE</a:t>
            </a:r>
          </a:p>
        </c:rich>
      </c:tx>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400565566008371E-2"/>
          <c:y val="0.28199920110750576"/>
          <c:w val="0.73258842020527704"/>
          <c:h val="0.53742264148878538"/>
        </c:manualLayout>
      </c:layout>
      <c:bar3DChart>
        <c:barDir val="col"/>
        <c:grouping val="standard"/>
        <c:varyColors val="0"/>
        <c:ser>
          <c:idx val="0"/>
          <c:order val="0"/>
          <c:tx>
            <c:strRef>
              <c:f>DASHBOARD!$V$31</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DASHBOARD!$U$32:$U$35</c:f>
              <c:strCache>
                <c:ptCount val="3"/>
                <c:pt idx="0">
                  <c:v>WH-A</c:v>
                </c:pt>
                <c:pt idx="1">
                  <c:v>WH-B</c:v>
                </c:pt>
                <c:pt idx="2">
                  <c:v>WH-C</c:v>
                </c:pt>
              </c:strCache>
            </c:strRef>
          </c:cat>
          <c:val>
            <c:numRef>
              <c:f>DASHBOARD!$V$32:$V$35</c:f>
              <c:numCache>
                <c:formatCode>General</c:formatCode>
                <c:ptCount val="3"/>
                <c:pt idx="0">
                  <c:v>36</c:v>
                </c:pt>
                <c:pt idx="1">
                  <c:v>29</c:v>
                </c:pt>
                <c:pt idx="2">
                  <c:v>35</c:v>
                </c:pt>
              </c:numCache>
            </c:numRef>
          </c:val>
          <c:extLst>
            <c:ext xmlns:c16="http://schemas.microsoft.com/office/drawing/2014/chart" uri="{C3380CC4-5D6E-409C-BE32-E72D297353CC}">
              <c16:uniqueId val="{00000000-BEC5-4215-9441-74BFA5FD083D}"/>
            </c:ext>
          </c:extLst>
        </c:ser>
        <c:dLbls>
          <c:showLegendKey val="0"/>
          <c:showVal val="0"/>
          <c:showCatName val="0"/>
          <c:showSerName val="0"/>
          <c:showPercent val="0"/>
          <c:showBubbleSize val="0"/>
        </c:dLbls>
        <c:gapWidth val="150"/>
        <c:shape val="box"/>
        <c:axId val="153194832"/>
        <c:axId val="153194352"/>
        <c:axId val="701889312"/>
      </c:bar3DChart>
      <c:catAx>
        <c:axId val="153194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crossAx val="153194352"/>
        <c:crosses val="autoZero"/>
        <c:auto val="1"/>
        <c:lblAlgn val="ctr"/>
        <c:lblOffset val="100"/>
        <c:noMultiLvlLbl val="0"/>
      </c:catAx>
      <c:valAx>
        <c:axId val="15319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crossAx val="153194832"/>
        <c:crosses val="autoZero"/>
        <c:crossBetween val="between"/>
      </c:valAx>
      <c:serAx>
        <c:axId val="70188931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crossAx val="15319435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lang="en-US" sz="2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[Supply_Chain_Dataset_100_Records.xlsx]DASHBOARD!PivotTable19</c:name>
    <c:fmtId val="23"/>
  </c:pivotSource>
  <c:chart>
    <c:title>
      <c:tx>
        <c:rich>
          <a:bodyPr rot="0" spcFirstLastPara="1" vertOverflow="ellipsis" vert="horz" wrap="square" anchor="ctr" anchorCtr="1"/>
          <a:lstStyle/>
          <a:p>
            <a:pPr>
              <a:defRPr sz="1920" b="1" i="0" u="none" strike="noStrike" kern="1200" spc="0" baseline="0">
                <a:solidFill>
                  <a:schemeClr val="tx1">
                    <a:lumMod val="65000"/>
                    <a:lumOff val="35000"/>
                  </a:schemeClr>
                </a:solidFill>
                <a:latin typeface="+mn-lt"/>
                <a:ea typeface="+mn-ea"/>
                <a:cs typeface="+mn-cs"/>
              </a:defRPr>
            </a:pPr>
            <a:r>
              <a:rPr lang="en-US" sz="2400">
                <a:solidFill>
                  <a:schemeClr val="accent1">
                    <a:lumMod val="75000"/>
                  </a:schemeClr>
                </a:solidFill>
              </a:rPr>
              <a:t>MONTHLY REVENUE</a:t>
            </a:r>
            <a:r>
              <a:rPr lang="en-US" sz="2400" baseline="0">
                <a:solidFill>
                  <a:schemeClr val="accent1">
                    <a:lumMod val="75000"/>
                  </a:schemeClr>
                </a:solidFill>
              </a:rPr>
              <a:t> TREND</a:t>
            </a:r>
            <a:endParaRPr lang="en-US" sz="2400">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92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DASHBOARD!$V$38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DASHBOARD!$U$39:$U$45</c:f>
              <c:strCache>
                <c:ptCount val="6"/>
                <c:pt idx="0">
                  <c:v>Jan 2026</c:v>
                </c:pt>
                <c:pt idx="1">
                  <c:v>Feb 2026</c:v>
                </c:pt>
                <c:pt idx="2">
                  <c:v>Mar 2026</c:v>
                </c:pt>
                <c:pt idx="3">
                  <c:v>Apr 2026</c:v>
                </c:pt>
                <c:pt idx="4">
                  <c:v>May 2026</c:v>
                </c:pt>
                <c:pt idx="5">
                  <c:v>Jun 2026</c:v>
                </c:pt>
              </c:strCache>
            </c:strRef>
          </c:cat>
          <c:val>
            <c:numRef>
              <c:f>DASHBOARD!$V$39:$V$45</c:f>
              <c:numCache>
                <c:formatCode>General</c:formatCode>
                <c:ptCount val="6"/>
                <c:pt idx="0">
                  <c:v>1203500</c:v>
                </c:pt>
                <c:pt idx="1">
                  <c:v>267400</c:v>
                </c:pt>
                <c:pt idx="2">
                  <c:v>198100</c:v>
                </c:pt>
                <c:pt idx="3">
                  <c:v>1480200</c:v>
                </c:pt>
                <c:pt idx="4">
                  <c:v>622500</c:v>
                </c:pt>
                <c:pt idx="5">
                  <c:v>655900</c:v>
                </c:pt>
              </c:numCache>
            </c:numRef>
          </c:val>
          <c:smooth val="0"/>
          <c:extLst>
            <c:ext xmlns:c16="http://schemas.microsoft.com/office/drawing/2014/chart" uri="{C3380CC4-5D6E-409C-BE32-E72D297353CC}">
              <c16:uniqueId val="{00000000-7C43-4166-ABE1-059D1DB9F95D}"/>
            </c:ext>
          </c:extLst>
        </c:ser>
        <c:dLbls>
          <c:dLblPos val="t"/>
          <c:showLegendKey val="0"/>
          <c:showVal val="1"/>
          <c:showCatName val="0"/>
          <c:showSerName val="0"/>
          <c:showPercent val="0"/>
          <c:showBubbleSize val="0"/>
        </c:dLbls>
        <c:marker val="1"/>
        <c:smooth val="0"/>
        <c:axId val="150994656"/>
        <c:axId val="150995136"/>
      </c:lineChart>
      <c:catAx>
        <c:axId val="15099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50995136"/>
        <c:crosses val="autoZero"/>
        <c:auto val="1"/>
        <c:lblAlgn val="ctr"/>
        <c:lblOffset val="100"/>
        <c:noMultiLvlLbl val="0"/>
      </c:catAx>
      <c:valAx>
        <c:axId val="15099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5099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1493512</xdr:colOff>
      <xdr:row>3</xdr:row>
      <xdr:rowOff>379571</xdr:rowOff>
    </xdr:from>
    <xdr:to>
      <xdr:col>6</xdr:col>
      <xdr:colOff>733005</xdr:colOff>
      <xdr:row>21</xdr:row>
      <xdr:rowOff>117427</xdr:rowOff>
    </xdr:to>
    <xdr:graphicFrame macro="">
      <xdr:nvGraphicFramePr>
        <xdr:cNvPr id="2" name="Chart 1">
          <a:extLst>
            <a:ext uri="{FF2B5EF4-FFF2-40B4-BE49-F238E27FC236}">
              <a16:creationId xmlns:a16="http://schemas.microsoft.com/office/drawing/2014/main" id="{A983DC7D-438B-C57E-DE66-D83E9D9953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732825</xdr:colOff>
      <xdr:row>3</xdr:row>
      <xdr:rowOff>376418</xdr:rowOff>
    </xdr:from>
    <xdr:to>
      <xdr:col>10</xdr:col>
      <xdr:colOff>871272</xdr:colOff>
      <xdr:row>22</xdr:row>
      <xdr:rowOff>4582</xdr:rowOff>
    </xdr:to>
    <xdr:graphicFrame macro="">
      <xdr:nvGraphicFramePr>
        <xdr:cNvPr id="4" name="Chart 3">
          <a:extLst>
            <a:ext uri="{FF2B5EF4-FFF2-40B4-BE49-F238E27FC236}">
              <a16:creationId xmlns:a16="http://schemas.microsoft.com/office/drawing/2014/main" id="{599EBAAA-AADE-2B51-E3E2-86216F6750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897319</xdr:colOff>
      <xdr:row>3</xdr:row>
      <xdr:rowOff>381000</xdr:rowOff>
    </xdr:from>
    <xdr:to>
      <xdr:col>14</xdr:col>
      <xdr:colOff>13854</xdr:colOff>
      <xdr:row>21</xdr:row>
      <xdr:rowOff>179637</xdr:rowOff>
    </xdr:to>
    <xdr:graphicFrame macro="">
      <xdr:nvGraphicFramePr>
        <xdr:cNvPr id="6" name="Chart 5">
          <a:extLst>
            <a:ext uri="{FF2B5EF4-FFF2-40B4-BE49-F238E27FC236}">
              <a16:creationId xmlns:a16="http://schemas.microsoft.com/office/drawing/2014/main" id="{7025115F-E204-861B-DB77-08416BC3A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1160522</xdr:colOff>
      <xdr:row>21</xdr:row>
      <xdr:rowOff>83127</xdr:rowOff>
    </xdr:from>
    <xdr:to>
      <xdr:col>6</xdr:col>
      <xdr:colOff>734369</xdr:colOff>
      <xdr:row>38</xdr:row>
      <xdr:rowOff>0</xdr:rowOff>
    </xdr:to>
    <xdr:graphicFrame macro="">
      <xdr:nvGraphicFramePr>
        <xdr:cNvPr id="7" name="Chart 6">
          <a:extLst>
            <a:ext uri="{FF2B5EF4-FFF2-40B4-BE49-F238E27FC236}">
              <a16:creationId xmlns:a16="http://schemas.microsoft.com/office/drawing/2014/main" id="{A14962B4-5295-87C8-4FE4-729BAC7AE4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692727</xdr:colOff>
      <xdr:row>22</xdr:row>
      <xdr:rowOff>11906</xdr:rowOff>
    </xdr:from>
    <xdr:to>
      <xdr:col>18</xdr:col>
      <xdr:colOff>0</xdr:colOff>
      <xdr:row>38</xdr:row>
      <xdr:rowOff>27709</xdr:rowOff>
    </xdr:to>
    <xdr:graphicFrame macro="">
      <xdr:nvGraphicFramePr>
        <xdr:cNvPr id="8" name="Chart 7">
          <a:extLst>
            <a:ext uri="{FF2B5EF4-FFF2-40B4-BE49-F238E27FC236}">
              <a16:creationId xmlns:a16="http://schemas.microsoft.com/office/drawing/2014/main" id="{C8AF486C-83E1-7FD6-9781-6949E5BA4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922496</xdr:colOff>
      <xdr:row>0</xdr:row>
      <xdr:rowOff>246222</xdr:rowOff>
    </xdr:from>
    <xdr:to>
      <xdr:col>3</xdr:col>
      <xdr:colOff>1141095</xdr:colOff>
      <xdr:row>1</xdr:row>
      <xdr:rowOff>95250</xdr:rowOff>
    </xdr:to>
    <xdr:sp macro="" textlink="">
      <xdr:nvSpPr>
        <xdr:cNvPr id="9" name="TextBox 8">
          <a:extLst>
            <a:ext uri="{FF2B5EF4-FFF2-40B4-BE49-F238E27FC236}">
              <a16:creationId xmlns:a16="http://schemas.microsoft.com/office/drawing/2014/main" id="{651247E9-2D65-0C97-E330-30C5AD6CDF1F}"/>
            </a:ext>
          </a:extLst>
        </xdr:cNvPr>
        <xdr:cNvSpPr txBox="1"/>
      </xdr:nvSpPr>
      <xdr:spPr>
        <a:xfrm>
          <a:off x="2136934" y="246222"/>
          <a:ext cx="1504474" cy="253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cap="none" spc="0">
              <a:ln w="0"/>
              <a:solidFill>
                <a:schemeClr val="accent1">
                  <a:lumMod val="75000"/>
                </a:schemeClr>
              </a:solidFill>
              <a:effectLst>
                <a:outerShdw blurRad="38100" dist="25400" dir="5400000" algn="ctr" rotWithShape="0">
                  <a:srgbClr val="6E747A">
                    <a:alpha val="43000"/>
                  </a:srgbClr>
                </a:outerShdw>
              </a:effectLst>
            </a:rPr>
            <a:t>TOTAL ORDERS</a:t>
          </a:r>
        </a:p>
      </xdr:txBody>
    </xdr:sp>
    <xdr:clientData/>
  </xdr:twoCellAnchor>
  <xdr:twoCellAnchor>
    <xdr:from>
      <xdr:col>4</xdr:col>
      <xdr:colOff>967739</xdr:colOff>
      <xdr:row>0</xdr:row>
      <xdr:rowOff>232410</xdr:rowOff>
    </xdr:from>
    <xdr:to>
      <xdr:col>6</xdr:col>
      <xdr:colOff>136986</xdr:colOff>
      <xdr:row>1</xdr:row>
      <xdr:rowOff>270580</xdr:rowOff>
    </xdr:to>
    <xdr:sp macro="" textlink="">
      <xdr:nvSpPr>
        <xdr:cNvPr id="10" name="TextBox 9">
          <a:extLst>
            <a:ext uri="{FF2B5EF4-FFF2-40B4-BE49-F238E27FC236}">
              <a16:creationId xmlns:a16="http://schemas.microsoft.com/office/drawing/2014/main" id="{3EB493A9-3AE8-C5B0-F6FE-B7578B0EFBE5}"/>
            </a:ext>
          </a:extLst>
        </xdr:cNvPr>
        <xdr:cNvSpPr txBox="1"/>
      </xdr:nvSpPr>
      <xdr:spPr>
        <a:xfrm>
          <a:off x="4753927" y="232410"/>
          <a:ext cx="1740997" cy="442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cap="none" spc="0">
              <a:ln w="0"/>
              <a:solidFill>
                <a:schemeClr val="accent1">
                  <a:lumMod val="75000"/>
                </a:schemeClr>
              </a:solidFill>
              <a:effectLst>
                <a:outerShdw blurRad="38100" dist="25400" dir="5400000" algn="ctr" rotWithShape="0">
                  <a:srgbClr val="6E747A">
                    <a:alpha val="43000"/>
                  </a:srgbClr>
                </a:outerShdw>
              </a:effectLst>
              <a:latin typeface="+mn-lt"/>
              <a:ea typeface="+mn-ea"/>
              <a:cs typeface="+mn-cs"/>
            </a:rPr>
            <a:t>TOTAL REVENUE</a:t>
          </a:r>
        </a:p>
      </xdr:txBody>
    </xdr:sp>
    <xdr:clientData/>
  </xdr:twoCellAnchor>
  <xdr:twoCellAnchor>
    <xdr:from>
      <xdr:col>6</xdr:col>
      <xdr:colOff>1148715</xdr:colOff>
      <xdr:row>0</xdr:row>
      <xdr:rowOff>251935</xdr:rowOff>
    </xdr:from>
    <xdr:to>
      <xdr:col>8</xdr:col>
      <xdr:colOff>85249</xdr:colOff>
      <xdr:row>2</xdr:row>
      <xdr:rowOff>253841</xdr:rowOff>
    </xdr:to>
    <xdr:sp macro="" textlink="">
      <xdr:nvSpPr>
        <xdr:cNvPr id="11" name="TextBox 10">
          <a:extLst>
            <a:ext uri="{FF2B5EF4-FFF2-40B4-BE49-F238E27FC236}">
              <a16:creationId xmlns:a16="http://schemas.microsoft.com/office/drawing/2014/main" id="{DEBA6227-171E-E1F4-8E57-D2BB1228F72C}"/>
            </a:ext>
          </a:extLst>
        </xdr:cNvPr>
        <xdr:cNvSpPr txBox="1"/>
      </xdr:nvSpPr>
      <xdr:spPr>
        <a:xfrm>
          <a:off x="8649653" y="251935"/>
          <a:ext cx="1936909" cy="811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cap="none" spc="0">
              <a:ln w="0"/>
              <a:solidFill>
                <a:schemeClr val="accent1">
                  <a:lumMod val="75000"/>
                </a:schemeClr>
              </a:solidFill>
              <a:effectLst>
                <a:outerShdw blurRad="38100" dist="25400" dir="5400000" algn="ctr" rotWithShape="0">
                  <a:srgbClr val="6E747A">
                    <a:alpha val="43000"/>
                  </a:srgbClr>
                </a:outerShdw>
              </a:effectLst>
              <a:latin typeface="+mn-lt"/>
              <a:ea typeface="+mn-ea"/>
              <a:cs typeface="+mn-cs"/>
            </a:rPr>
            <a:t>ON TIME DELIVERIES</a:t>
          </a:r>
        </a:p>
      </xdr:txBody>
    </xdr:sp>
    <xdr:clientData/>
  </xdr:twoCellAnchor>
  <xdr:twoCellAnchor>
    <xdr:from>
      <xdr:col>8</xdr:col>
      <xdr:colOff>882489</xdr:colOff>
      <xdr:row>0</xdr:row>
      <xdr:rowOff>221935</xdr:rowOff>
    </xdr:from>
    <xdr:to>
      <xdr:col>10</xdr:col>
      <xdr:colOff>202406</xdr:colOff>
      <xdr:row>2</xdr:row>
      <xdr:rowOff>224315</xdr:rowOff>
    </xdr:to>
    <xdr:sp macro="" textlink="">
      <xdr:nvSpPr>
        <xdr:cNvPr id="12" name="TextBox 11">
          <a:extLst>
            <a:ext uri="{FF2B5EF4-FFF2-40B4-BE49-F238E27FC236}">
              <a16:creationId xmlns:a16="http://schemas.microsoft.com/office/drawing/2014/main" id="{4F8D7B55-63EC-A3C9-7E22-75668F9D756C}"/>
            </a:ext>
          </a:extLst>
        </xdr:cNvPr>
        <xdr:cNvSpPr txBox="1"/>
      </xdr:nvSpPr>
      <xdr:spPr>
        <a:xfrm>
          <a:off x="11383802" y="221935"/>
          <a:ext cx="2082167" cy="812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cap="none" spc="0">
              <a:ln w="0"/>
              <a:solidFill>
                <a:schemeClr val="accent1">
                  <a:lumMod val="75000"/>
                </a:schemeClr>
              </a:solidFill>
              <a:effectLst>
                <a:outerShdw blurRad="38100" dist="25400" dir="5400000" algn="ctr" rotWithShape="0">
                  <a:srgbClr val="6E747A">
                    <a:alpha val="43000"/>
                  </a:srgbClr>
                </a:outerShdw>
              </a:effectLst>
              <a:latin typeface="+mn-lt"/>
              <a:ea typeface="+mn-ea"/>
              <a:cs typeface="+mn-cs"/>
            </a:rPr>
            <a:t>DELAYED DELIVERIES</a:t>
          </a:r>
        </a:p>
      </xdr:txBody>
    </xdr:sp>
    <xdr:clientData/>
  </xdr:twoCellAnchor>
  <xdr:twoCellAnchor>
    <xdr:from>
      <xdr:col>10</xdr:col>
      <xdr:colOff>743902</xdr:colOff>
      <xdr:row>0</xdr:row>
      <xdr:rowOff>238125</xdr:rowOff>
    </xdr:from>
    <xdr:to>
      <xdr:col>12</xdr:col>
      <xdr:colOff>240030</xdr:colOff>
      <xdr:row>1</xdr:row>
      <xdr:rowOff>129063</xdr:rowOff>
    </xdr:to>
    <xdr:sp macro="" textlink="">
      <xdr:nvSpPr>
        <xdr:cNvPr id="13" name="TextBox 12">
          <a:extLst>
            <a:ext uri="{FF2B5EF4-FFF2-40B4-BE49-F238E27FC236}">
              <a16:creationId xmlns:a16="http://schemas.microsoft.com/office/drawing/2014/main" id="{CD6FBE41-83A1-F5B9-45E6-373517FB671D}"/>
            </a:ext>
          </a:extLst>
        </xdr:cNvPr>
        <xdr:cNvSpPr txBox="1"/>
      </xdr:nvSpPr>
      <xdr:spPr>
        <a:xfrm>
          <a:off x="14007465" y="238125"/>
          <a:ext cx="2067878" cy="29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cap="none" spc="0">
              <a:ln w="0"/>
              <a:solidFill>
                <a:schemeClr val="accent1">
                  <a:lumMod val="75000"/>
                </a:schemeClr>
              </a:solidFill>
              <a:effectLst>
                <a:outerShdw blurRad="38100" dist="25400" dir="5400000" algn="ctr" rotWithShape="0">
                  <a:srgbClr val="6E747A">
                    <a:alpha val="43000"/>
                  </a:srgbClr>
                </a:outerShdw>
              </a:effectLst>
              <a:latin typeface="+mn-lt"/>
              <a:ea typeface="+mn-ea"/>
              <a:cs typeface="+mn-cs"/>
            </a:rPr>
            <a:t>AVG. DELIVERY DAYS</a:t>
          </a:r>
        </a:p>
      </xdr:txBody>
    </xdr:sp>
    <xdr:clientData/>
  </xdr:twoCellAnchor>
  <xdr:twoCellAnchor>
    <xdr:from>
      <xdr:col>12</xdr:col>
      <xdr:colOff>1047749</xdr:colOff>
      <xdr:row>0</xdr:row>
      <xdr:rowOff>198597</xdr:rowOff>
    </xdr:from>
    <xdr:to>
      <xdr:col>14</xdr:col>
      <xdr:colOff>55418</xdr:colOff>
      <xdr:row>2</xdr:row>
      <xdr:rowOff>160973</xdr:rowOff>
    </xdr:to>
    <xdr:sp macro="" textlink="">
      <xdr:nvSpPr>
        <xdr:cNvPr id="14" name="TextBox 13">
          <a:extLst>
            <a:ext uri="{FF2B5EF4-FFF2-40B4-BE49-F238E27FC236}">
              <a16:creationId xmlns:a16="http://schemas.microsoft.com/office/drawing/2014/main" id="{9BA52238-D8EE-0705-ACD1-C63D4F19AF06}"/>
            </a:ext>
          </a:extLst>
        </xdr:cNvPr>
        <xdr:cNvSpPr txBox="1"/>
      </xdr:nvSpPr>
      <xdr:spPr>
        <a:xfrm>
          <a:off x="17146731" y="198597"/>
          <a:ext cx="2415887" cy="765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cap="none" spc="0">
              <a:ln w="0"/>
              <a:solidFill>
                <a:schemeClr val="accent1">
                  <a:lumMod val="75000"/>
                </a:schemeClr>
              </a:solidFill>
              <a:effectLst>
                <a:outerShdw blurRad="38100" dist="25400" dir="5400000" algn="ctr" rotWithShape="0">
                  <a:srgbClr val="6E747A">
                    <a:alpha val="43000"/>
                  </a:srgbClr>
                </a:outerShdw>
              </a:effectLst>
              <a:latin typeface="+mn-lt"/>
              <a:ea typeface="+mn-ea"/>
              <a:cs typeface="+mn-cs"/>
            </a:rPr>
            <a:t>ON TIME DELIVERY %</a:t>
          </a:r>
        </a:p>
      </xdr:txBody>
    </xdr:sp>
    <xdr:clientData/>
  </xdr:twoCellAnchor>
  <xdr:twoCellAnchor editAs="oneCell">
    <xdr:from>
      <xdr:col>2</xdr:col>
      <xdr:colOff>403858</xdr:colOff>
      <xdr:row>0</xdr:row>
      <xdr:rowOff>219553</xdr:rowOff>
    </xdr:from>
    <xdr:to>
      <xdr:col>2</xdr:col>
      <xdr:colOff>917712</xdr:colOff>
      <xdr:row>1</xdr:row>
      <xdr:rowOff>339091</xdr:rowOff>
    </xdr:to>
    <xdr:pic>
      <xdr:nvPicPr>
        <xdr:cNvPr id="16" name="Graphic 15" descr="Shopping cart with solid fill">
          <a:extLst>
            <a:ext uri="{FF2B5EF4-FFF2-40B4-BE49-F238E27FC236}">
              <a16:creationId xmlns:a16="http://schemas.microsoft.com/office/drawing/2014/main" id="{763A2A80-4E08-A31C-7AA6-88BE64CF237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18296" y="219553"/>
          <a:ext cx="521474" cy="518636"/>
        </a:xfrm>
        <a:prstGeom prst="rect">
          <a:avLst/>
        </a:prstGeom>
      </xdr:spPr>
    </xdr:pic>
    <xdr:clientData/>
  </xdr:twoCellAnchor>
  <xdr:twoCellAnchor editAs="oneCell">
    <xdr:from>
      <xdr:col>4</xdr:col>
      <xdr:colOff>454342</xdr:colOff>
      <xdr:row>0</xdr:row>
      <xdr:rowOff>237651</xdr:rowOff>
    </xdr:from>
    <xdr:to>
      <xdr:col>4</xdr:col>
      <xdr:colOff>956849</xdr:colOff>
      <xdr:row>1</xdr:row>
      <xdr:rowOff>339091</xdr:rowOff>
    </xdr:to>
    <xdr:pic>
      <xdr:nvPicPr>
        <xdr:cNvPr id="18" name="Graphic 17" descr="Rupee with solid fill">
          <a:extLst>
            <a:ext uri="{FF2B5EF4-FFF2-40B4-BE49-F238E27FC236}">
              <a16:creationId xmlns:a16="http://schemas.microsoft.com/office/drawing/2014/main" id="{EB6F8DDC-DB94-FAF8-8FAC-349A8338913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240530" y="237651"/>
          <a:ext cx="510127" cy="498633"/>
        </a:xfrm>
        <a:prstGeom prst="rect">
          <a:avLst/>
        </a:prstGeom>
      </xdr:spPr>
    </xdr:pic>
    <xdr:clientData/>
  </xdr:twoCellAnchor>
  <xdr:twoCellAnchor editAs="oneCell">
    <xdr:from>
      <xdr:col>6</xdr:col>
      <xdr:colOff>394811</xdr:colOff>
      <xdr:row>0</xdr:row>
      <xdr:rowOff>95250</xdr:rowOff>
    </xdr:from>
    <xdr:to>
      <xdr:col>6</xdr:col>
      <xdr:colOff>1101959</xdr:colOff>
      <xdr:row>1</xdr:row>
      <xdr:rowOff>385286</xdr:rowOff>
    </xdr:to>
    <xdr:pic>
      <xdr:nvPicPr>
        <xdr:cNvPr id="20" name="Graphic 19" descr="Truck with solid fill">
          <a:extLst>
            <a:ext uri="{FF2B5EF4-FFF2-40B4-BE49-F238E27FC236}">
              <a16:creationId xmlns:a16="http://schemas.microsoft.com/office/drawing/2014/main" id="{185B8A0B-3CDF-6D3F-27D1-BB6B193946E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752749" y="95250"/>
          <a:ext cx="705243" cy="700564"/>
        </a:xfrm>
        <a:prstGeom prst="rect">
          <a:avLst/>
        </a:prstGeom>
      </xdr:spPr>
    </xdr:pic>
    <xdr:clientData/>
  </xdr:twoCellAnchor>
  <xdr:twoCellAnchor editAs="oneCell">
    <xdr:from>
      <xdr:col>8</xdr:col>
      <xdr:colOff>362901</xdr:colOff>
      <xdr:row>0</xdr:row>
      <xdr:rowOff>119063</xdr:rowOff>
    </xdr:from>
    <xdr:to>
      <xdr:col>8</xdr:col>
      <xdr:colOff>915208</xdr:colOff>
      <xdr:row>1</xdr:row>
      <xdr:rowOff>270033</xdr:rowOff>
    </xdr:to>
    <xdr:pic>
      <xdr:nvPicPr>
        <xdr:cNvPr id="22" name="Graphic 21" descr="Stopwatch with solid fill">
          <a:extLst>
            <a:ext uri="{FF2B5EF4-FFF2-40B4-BE49-F238E27FC236}">
              <a16:creationId xmlns:a16="http://schemas.microsoft.com/office/drawing/2014/main" id="{302BF832-4CB2-DC19-3FE0-82A5E8926F4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292589" y="119063"/>
          <a:ext cx="552307" cy="559593"/>
        </a:xfrm>
        <a:prstGeom prst="rect">
          <a:avLst/>
        </a:prstGeom>
      </xdr:spPr>
    </xdr:pic>
    <xdr:clientData/>
  </xdr:twoCellAnchor>
  <xdr:twoCellAnchor editAs="oneCell">
    <xdr:from>
      <xdr:col>10</xdr:col>
      <xdr:colOff>205541</xdr:colOff>
      <xdr:row>0</xdr:row>
      <xdr:rowOff>103348</xdr:rowOff>
    </xdr:from>
    <xdr:to>
      <xdr:col>10</xdr:col>
      <xdr:colOff>796406</xdr:colOff>
      <xdr:row>1</xdr:row>
      <xdr:rowOff>300990</xdr:rowOff>
    </xdr:to>
    <xdr:pic>
      <xdr:nvPicPr>
        <xdr:cNvPr id="24" name="Graphic 23" descr="Clock with solid fill">
          <a:extLst>
            <a:ext uri="{FF2B5EF4-FFF2-40B4-BE49-F238E27FC236}">
              <a16:creationId xmlns:a16="http://schemas.microsoft.com/office/drawing/2014/main" id="{DEF5DEE9-1E28-13A3-CFE7-74354F1922F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706979" y="103348"/>
          <a:ext cx="571815" cy="589120"/>
        </a:xfrm>
        <a:prstGeom prst="rect">
          <a:avLst/>
        </a:prstGeom>
      </xdr:spPr>
    </xdr:pic>
    <xdr:clientData/>
  </xdr:twoCellAnchor>
  <xdr:twoCellAnchor>
    <xdr:from>
      <xdr:col>12</xdr:col>
      <xdr:colOff>369093</xdr:colOff>
      <xdr:row>0</xdr:row>
      <xdr:rowOff>140494</xdr:rowOff>
    </xdr:from>
    <xdr:to>
      <xdr:col>12</xdr:col>
      <xdr:colOff>1002029</xdr:colOff>
      <xdr:row>1</xdr:row>
      <xdr:rowOff>325278</xdr:rowOff>
    </xdr:to>
    <xdr:sp macro="" textlink="">
      <xdr:nvSpPr>
        <xdr:cNvPr id="25" name="Oval 24">
          <a:extLst>
            <a:ext uri="{FF2B5EF4-FFF2-40B4-BE49-F238E27FC236}">
              <a16:creationId xmlns:a16="http://schemas.microsoft.com/office/drawing/2014/main" id="{7E976925-4D51-5F57-327D-B980AEAB6040}"/>
            </a:ext>
          </a:extLst>
        </xdr:cNvPr>
        <xdr:cNvSpPr/>
      </xdr:nvSpPr>
      <xdr:spPr>
        <a:xfrm>
          <a:off x="16204406" y="140494"/>
          <a:ext cx="632936" cy="589597"/>
        </a:xfrm>
        <a:prstGeom prst="ellipse">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a:latin typeface="ADLaM Display" panose="020F0502020204030204" pitchFamily="2" charset="0"/>
              <a:ea typeface="ADLaM Display" panose="020F0502020204030204" pitchFamily="2" charset="0"/>
              <a:cs typeface="ADLaM Display" panose="020F0502020204030204" pitchFamily="2" charset="0"/>
            </a:rPr>
            <a:t>%</a:t>
          </a:r>
        </a:p>
      </xdr:txBody>
    </xdr:sp>
    <xdr:clientData/>
  </xdr:twoCellAnchor>
  <xdr:twoCellAnchor editAs="oneCell">
    <xdr:from>
      <xdr:col>0</xdr:col>
      <xdr:colOff>27709</xdr:colOff>
      <xdr:row>2</xdr:row>
      <xdr:rowOff>334891</xdr:rowOff>
    </xdr:from>
    <xdr:to>
      <xdr:col>1</xdr:col>
      <xdr:colOff>1137370</xdr:colOff>
      <xdr:row>9</xdr:row>
      <xdr:rowOff>110836</xdr:rowOff>
    </xdr:to>
    <mc:AlternateContent xmlns:mc="http://schemas.openxmlformats.org/markup-compatibility/2006">
      <mc:Choice xmlns:a14="http://schemas.microsoft.com/office/drawing/2010/main" Requires="a14">
        <xdr:graphicFrame macro="">
          <xdr:nvGraphicFramePr>
            <xdr:cNvPr id="29" name="Category 1">
              <a:extLst>
                <a:ext uri="{FF2B5EF4-FFF2-40B4-BE49-F238E27FC236}">
                  <a16:creationId xmlns:a16="http://schemas.microsoft.com/office/drawing/2014/main" id="{3445B815-27D7-E2C3-C02F-B6C6D407DDC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7709" y="1138455"/>
              <a:ext cx="1719261" cy="1480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41563</xdr:colOff>
      <xdr:row>9</xdr:row>
      <xdr:rowOff>119367</xdr:rowOff>
    </xdr:from>
    <xdr:to>
      <xdr:col>1</xdr:col>
      <xdr:colOff>1105066</xdr:colOff>
      <xdr:row>15</xdr:row>
      <xdr:rowOff>41565</xdr:rowOff>
    </xdr:to>
    <mc:AlternateContent xmlns:mc="http://schemas.openxmlformats.org/markup-compatibility/2006">
      <mc:Choice xmlns:a14="http://schemas.microsoft.com/office/drawing/2010/main" Requires="a14">
        <xdr:graphicFrame macro="">
          <xdr:nvGraphicFramePr>
            <xdr:cNvPr id="31" name="Warehouse 2">
              <a:extLst>
                <a:ext uri="{FF2B5EF4-FFF2-40B4-BE49-F238E27FC236}">
                  <a16:creationId xmlns:a16="http://schemas.microsoft.com/office/drawing/2014/main" id="{B940AB59-83C0-7CB9-8494-A437BBA1BE3E}"/>
                </a:ext>
              </a:extLst>
            </xdr:cNvPr>
            <xdr:cNvGraphicFramePr/>
          </xdr:nvGraphicFramePr>
          <xdr:xfrm>
            <a:off x="0" y="0"/>
            <a:ext cx="0" cy="0"/>
          </xdr:xfrm>
          <a:graphic>
            <a:graphicData uri="http://schemas.microsoft.com/office/drawing/2010/slicer">
              <sle:slicer xmlns:sle="http://schemas.microsoft.com/office/drawing/2010/slicer" name="Warehouse 2"/>
            </a:graphicData>
          </a:graphic>
        </xdr:graphicFrame>
      </mc:Choice>
      <mc:Fallback>
        <xdr:sp macro="" textlink="">
          <xdr:nvSpPr>
            <xdr:cNvPr id="0" name=""/>
            <xdr:cNvSpPr>
              <a:spLocks noTextEdit="1"/>
            </xdr:cNvSpPr>
          </xdr:nvSpPr>
          <xdr:spPr>
            <a:xfrm>
              <a:off x="41563" y="2627040"/>
              <a:ext cx="1673103" cy="1155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27709</xdr:colOff>
      <xdr:row>15</xdr:row>
      <xdr:rowOff>87848</xdr:rowOff>
    </xdr:from>
    <xdr:to>
      <xdr:col>1</xdr:col>
      <xdr:colOff>1099271</xdr:colOff>
      <xdr:row>23</xdr:row>
      <xdr:rowOff>1</xdr:rowOff>
    </xdr:to>
    <mc:AlternateContent xmlns:mc="http://schemas.openxmlformats.org/markup-compatibility/2006">
      <mc:Choice xmlns:a14="http://schemas.microsoft.com/office/drawing/2010/main" Requires="a14">
        <xdr:graphicFrame macro="">
          <xdr:nvGraphicFramePr>
            <xdr:cNvPr id="27" name="Region 1">
              <a:extLst>
                <a:ext uri="{FF2B5EF4-FFF2-40B4-BE49-F238E27FC236}">
                  <a16:creationId xmlns:a16="http://schemas.microsoft.com/office/drawing/2014/main" id="{6CB42D73-86B9-7A9A-6BCD-1B29621F913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7709" y="3828575"/>
              <a:ext cx="1681162" cy="13530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89102</xdr:colOff>
      <xdr:row>0</xdr:row>
      <xdr:rowOff>73084</xdr:rowOff>
    </xdr:from>
    <xdr:to>
      <xdr:col>1</xdr:col>
      <xdr:colOff>1114470</xdr:colOff>
      <xdr:row>2</xdr:row>
      <xdr:rowOff>180239</xdr:rowOff>
    </xdr:to>
    <mc:AlternateContent xmlns:mc="http://schemas.openxmlformats.org/markup-compatibility/2006">
      <mc:Choice xmlns:a14="http://schemas.microsoft.com/office/drawing/2010/main" Requires="a14">
        <xdr:graphicFrame macro="">
          <xdr:nvGraphicFramePr>
            <xdr:cNvPr id="30" name="Delivery_Status 1">
              <a:extLst>
                <a:ext uri="{FF2B5EF4-FFF2-40B4-BE49-F238E27FC236}">
                  <a16:creationId xmlns:a16="http://schemas.microsoft.com/office/drawing/2014/main" id="{F3EABCA7-EDC8-F119-2048-7DF37644AEEC}"/>
                </a:ext>
              </a:extLst>
            </xdr:cNvPr>
            <xdr:cNvGraphicFramePr/>
          </xdr:nvGraphicFramePr>
          <xdr:xfrm>
            <a:off x="0" y="0"/>
            <a:ext cx="0" cy="0"/>
          </xdr:xfrm>
          <a:graphic>
            <a:graphicData uri="http://schemas.microsoft.com/office/drawing/2010/slicer">
              <sle:slicer xmlns:sle="http://schemas.microsoft.com/office/drawing/2010/slicer" name="Delivery_Status 1"/>
            </a:graphicData>
          </a:graphic>
        </xdr:graphicFrame>
      </mc:Choice>
      <mc:Fallback>
        <xdr:sp macro="" textlink="">
          <xdr:nvSpPr>
            <xdr:cNvPr id="0" name=""/>
            <xdr:cNvSpPr>
              <a:spLocks noTextEdit="1"/>
            </xdr:cNvSpPr>
          </xdr:nvSpPr>
          <xdr:spPr>
            <a:xfrm>
              <a:off x="89102" y="73084"/>
              <a:ext cx="1634968" cy="910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41564</xdr:colOff>
      <xdr:row>23</xdr:row>
      <xdr:rowOff>30480</xdr:rowOff>
    </xdr:from>
    <xdr:to>
      <xdr:col>1</xdr:col>
      <xdr:colOff>1104554</xdr:colOff>
      <xdr:row>37</xdr:row>
      <xdr:rowOff>176646</xdr:rowOff>
    </xdr:to>
    <mc:AlternateContent xmlns:mc="http://schemas.openxmlformats.org/markup-compatibility/2006">
      <mc:Choice xmlns:a14="http://schemas.microsoft.com/office/drawing/2010/main" Requires="a14">
        <xdr:graphicFrame macro="">
          <xdr:nvGraphicFramePr>
            <xdr:cNvPr id="32" name="MONTHWISE">
              <a:extLst>
                <a:ext uri="{FF2B5EF4-FFF2-40B4-BE49-F238E27FC236}">
                  <a16:creationId xmlns:a16="http://schemas.microsoft.com/office/drawing/2014/main" id="{9580717B-D9D0-45AB-EE39-AB0F47C078D7}"/>
                </a:ext>
              </a:extLst>
            </xdr:cNvPr>
            <xdr:cNvGraphicFramePr/>
          </xdr:nvGraphicFramePr>
          <xdr:xfrm>
            <a:off x="0" y="0"/>
            <a:ext cx="0" cy="0"/>
          </xdr:xfrm>
          <a:graphic>
            <a:graphicData uri="http://schemas.microsoft.com/office/drawing/2010/slicer">
              <sle:slicer xmlns:sle="http://schemas.microsoft.com/office/drawing/2010/slicer" name="MONTHWISE"/>
            </a:graphicData>
          </a:graphic>
        </xdr:graphicFrame>
      </mc:Choice>
      <mc:Fallback>
        <xdr:sp macro="" textlink="">
          <xdr:nvSpPr>
            <xdr:cNvPr id="0" name=""/>
            <xdr:cNvSpPr>
              <a:spLocks noTextEdit="1"/>
            </xdr:cNvSpPr>
          </xdr:nvSpPr>
          <xdr:spPr>
            <a:xfrm>
              <a:off x="41564" y="5212080"/>
              <a:ext cx="1672590" cy="2667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55419</xdr:colOff>
      <xdr:row>0</xdr:row>
      <xdr:rowOff>221673</xdr:rowOff>
    </xdr:from>
    <xdr:to>
      <xdr:col>18</xdr:col>
      <xdr:colOff>96981</xdr:colOff>
      <xdr:row>1</xdr:row>
      <xdr:rowOff>124691</xdr:rowOff>
    </xdr:to>
    <xdr:sp macro="" textlink="">
      <xdr:nvSpPr>
        <xdr:cNvPr id="3" name="TextBox 2">
          <a:extLst>
            <a:ext uri="{FF2B5EF4-FFF2-40B4-BE49-F238E27FC236}">
              <a16:creationId xmlns:a16="http://schemas.microsoft.com/office/drawing/2014/main" id="{0031E8EE-6CE8-E6E4-31A8-988B0FE540B3}"/>
            </a:ext>
          </a:extLst>
        </xdr:cNvPr>
        <xdr:cNvSpPr txBox="1"/>
      </xdr:nvSpPr>
      <xdr:spPr>
        <a:xfrm>
          <a:off x="19562619" y="221673"/>
          <a:ext cx="247996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600" b="1">
              <a:solidFill>
                <a:schemeClr val="accent1">
                  <a:lumMod val="75000"/>
                </a:schemeClr>
              </a:solidFill>
            </a:rPr>
            <a:t>HIGHEST REVENUE</a:t>
          </a:r>
          <a:r>
            <a:rPr lang="en-US" sz="1600" b="1" baseline="0">
              <a:solidFill>
                <a:schemeClr val="accent1">
                  <a:lumMod val="75000"/>
                </a:schemeClr>
              </a:solidFill>
            </a:rPr>
            <a:t> ORDER</a:t>
          </a:r>
          <a:endParaRPr lang="en-US" sz="1600" b="1">
            <a:solidFill>
              <a:schemeClr val="accent1">
                <a:lumMod val="75000"/>
              </a:schemeClr>
            </a:solidFill>
          </a:endParaRPr>
        </a:p>
      </xdr:txBody>
    </xdr:sp>
    <xdr:clientData/>
  </xdr:twoCellAnchor>
  <xdr:oneCellAnchor>
    <xdr:from>
      <xdr:col>13</xdr:col>
      <xdr:colOff>1925634</xdr:colOff>
      <xdr:row>4</xdr:row>
      <xdr:rowOff>46097</xdr:rowOff>
    </xdr:from>
    <xdr:ext cx="2812619" cy="311496"/>
    <xdr:sp macro="" textlink="">
      <xdr:nvSpPr>
        <xdr:cNvPr id="5" name="Rectangle 4">
          <a:extLst>
            <a:ext uri="{FF2B5EF4-FFF2-40B4-BE49-F238E27FC236}">
              <a16:creationId xmlns:a16="http://schemas.microsoft.com/office/drawing/2014/main" id="{A825A01E-2057-7B34-291A-5200F15049E3}"/>
            </a:ext>
          </a:extLst>
        </xdr:cNvPr>
        <xdr:cNvSpPr/>
      </xdr:nvSpPr>
      <xdr:spPr>
        <a:xfrm>
          <a:off x="19340798" y="1653224"/>
          <a:ext cx="2812619" cy="311496"/>
        </a:xfrm>
        <a:prstGeom prst="rect">
          <a:avLst/>
        </a:prstGeom>
        <a:noFill/>
      </xdr:spPr>
      <xdr:txBody>
        <a:bodyPr wrap="square" lIns="91440" tIns="45720" rIns="91440" bIns="45720">
          <a:spAutoFit/>
        </a:bodyPr>
        <a:lstStyle/>
        <a:p>
          <a:pPr algn="ctr"/>
          <a:r>
            <a:rPr lang="en-US" sz="1400" b="1">
              <a:solidFill>
                <a:schemeClr val="accent1">
                  <a:lumMod val="75000"/>
                </a:schemeClr>
              </a:solidFill>
            </a:rPr>
            <a:t>HIGHEST</a:t>
          </a:r>
          <a:r>
            <a:rPr lang="en-US" sz="1400" b="1" baseline="0">
              <a:solidFill>
                <a:schemeClr val="accent1">
                  <a:lumMod val="75000"/>
                </a:schemeClr>
              </a:solidFill>
            </a:rPr>
            <a:t> REVENUE</a:t>
          </a:r>
          <a:r>
            <a:rPr lang="en-US" sz="1400" b="1">
              <a:solidFill>
                <a:schemeClr val="accent1">
                  <a:lumMod val="75000"/>
                </a:schemeClr>
              </a:solidFill>
            </a:rPr>
            <a:t> CATEGORY</a:t>
          </a:r>
          <a:endParaRPr lang="en-US" sz="1400" b="1" cap="none" spc="0">
            <a:ln w="0"/>
            <a:solidFill>
              <a:schemeClr val="accent1">
                <a:lumMod val="75000"/>
              </a:schemeClr>
            </a:solidFill>
            <a:effectLst>
              <a:outerShdw blurRad="38100" dist="19050" dir="2700000" algn="tl" rotWithShape="0">
                <a:schemeClr val="dk1">
                  <a:alpha val="40000"/>
                </a:schemeClr>
              </a:outerShdw>
            </a:effectLst>
          </a:endParaRPr>
        </a:p>
      </xdr:txBody>
    </xdr:sp>
    <xdr:clientData/>
  </xdr:oneCellAnchor>
  <xdr:oneCellAnchor>
    <xdr:from>
      <xdr:col>13</xdr:col>
      <xdr:colOff>2056770</xdr:colOff>
      <xdr:row>13</xdr:row>
      <xdr:rowOff>46098</xdr:rowOff>
    </xdr:from>
    <xdr:ext cx="2667630" cy="311496"/>
    <xdr:sp macro="" textlink="">
      <xdr:nvSpPr>
        <xdr:cNvPr id="15" name="Rectangle 14">
          <a:extLst>
            <a:ext uri="{FF2B5EF4-FFF2-40B4-BE49-F238E27FC236}">
              <a16:creationId xmlns:a16="http://schemas.microsoft.com/office/drawing/2014/main" id="{C52F56C5-DDE5-0CFF-A167-77086ADCBAAE}"/>
            </a:ext>
          </a:extLst>
        </xdr:cNvPr>
        <xdr:cNvSpPr/>
      </xdr:nvSpPr>
      <xdr:spPr>
        <a:xfrm>
          <a:off x="19471934" y="3426607"/>
          <a:ext cx="2667630" cy="311496"/>
        </a:xfrm>
        <a:prstGeom prst="rect">
          <a:avLst/>
        </a:prstGeom>
        <a:noFill/>
      </xdr:spPr>
      <xdr:txBody>
        <a:bodyPr wrap="square" lIns="91440" tIns="45720" rIns="91440" bIns="45720">
          <a:spAutoFit/>
        </a:bodyPr>
        <a:lstStyle/>
        <a:p>
          <a:pPr marL="0" indent="0" algn="ctr"/>
          <a:r>
            <a:rPr lang="en-US" sz="1400" b="1">
              <a:solidFill>
                <a:schemeClr val="accent1">
                  <a:lumMod val="75000"/>
                </a:schemeClr>
              </a:solidFill>
              <a:latin typeface="+mn-lt"/>
              <a:ea typeface="+mn-ea"/>
              <a:cs typeface="+mn-cs"/>
            </a:rPr>
            <a:t>HIGHEST REVENUE REGION</a:t>
          </a:r>
        </a:p>
      </xdr:txBody>
    </xdr:sp>
    <xdr:clientData/>
  </xdr:oneCellAnchor>
  <xdr:twoCellAnchor editAs="oneCell">
    <xdr:from>
      <xdr:col>14</xdr:col>
      <xdr:colOff>498764</xdr:colOff>
      <xdr:row>1</xdr:row>
      <xdr:rowOff>96982</xdr:rowOff>
    </xdr:from>
    <xdr:to>
      <xdr:col>15</xdr:col>
      <xdr:colOff>524784</xdr:colOff>
      <xdr:row>2</xdr:row>
      <xdr:rowOff>152400</xdr:rowOff>
    </xdr:to>
    <xdr:pic>
      <xdr:nvPicPr>
        <xdr:cNvPr id="19" name="Graphic 18" descr="Shopping basket with solid fill">
          <a:extLst>
            <a:ext uri="{FF2B5EF4-FFF2-40B4-BE49-F238E27FC236}">
              <a16:creationId xmlns:a16="http://schemas.microsoft.com/office/drawing/2014/main" id="{C33A7C73-8507-307D-9163-29ED23C28AA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0005964" y="498764"/>
          <a:ext cx="635620" cy="457200"/>
        </a:xfrm>
        <a:prstGeom prst="rect">
          <a:avLst/>
        </a:prstGeom>
      </xdr:spPr>
    </xdr:pic>
    <xdr:clientData/>
  </xdr:twoCellAnchor>
  <xdr:twoCellAnchor editAs="oneCell">
    <xdr:from>
      <xdr:col>15</xdr:col>
      <xdr:colOff>374075</xdr:colOff>
      <xdr:row>5</xdr:row>
      <xdr:rowOff>83122</xdr:rowOff>
    </xdr:from>
    <xdr:to>
      <xdr:col>16</xdr:col>
      <xdr:colOff>346366</xdr:colOff>
      <xdr:row>8</xdr:row>
      <xdr:rowOff>124685</xdr:rowOff>
    </xdr:to>
    <xdr:pic>
      <xdr:nvPicPr>
        <xdr:cNvPr id="23" name="Graphic 22" descr="Internet outline">
          <a:extLst>
            <a:ext uri="{FF2B5EF4-FFF2-40B4-BE49-F238E27FC236}">
              <a16:creationId xmlns:a16="http://schemas.microsoft.com/office/drawing/2014/main" id="{EA3BC981-CBDC-9F11-7CC1-0D75B07EA1C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0490875" y="1870358"/>
          <a:ext cx="581891" cy="5818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26670</xdr:colOff>
      <xdr:row>4</xdr:row>
      <xdr:rowOff>118110</xdr:rowOff>
    </xdr:from>
    <xdr:to>
      <xdr:col>8</xdr:col>
      <xdr:colOff>986790</xdr:colOff>
      <xdr:row>11</xdr:row>
      <xdr:rowOff>152400</xdr:rowOff>
    </xdr:to>
    <mc:AlternateContent xmlns:mc="http://schemas.openxmlformats.org/markup-compatibility/2006" xmlns:a14="http://schemas.microsoft.com/office/drawing/2010/main">
      <mc:Choice Requires="a14">
        <xdr:graphicFrame macro="">
          <xdr:nvGraphicFramePr>
            <xdr:cNvPr id="2" name="Warehouse">
              <a:extLst>
                <a:ext uri="{FF2B5EF4-FFF2-40B4-BE49-F238E27FC236}">
                  <a16:creationId xmlns:a16="http://schemas.microsoft.com/office/drawing/2014/main" id="{B45FA50C-B4B7-9C38-383F-483BC4F9CFAC}"/>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6665595" y="880110"/>
              <a:ext cx="1834515" cy="13677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83820</xdr:colOff>
      <xdr:row>4</xdr:row>
      <xdr:rowOff>169545</xdr:rowOff>
    </xdr:from>
    <xdr:to>
      <xdr:col>16</xdr:col>
      <xdr:colOff>80010</xdr:colOff>
      <xdr:row>18</xdr:row>
      <xdr:rowOff>34290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CC8C571F-EA92-1C34-582E-2CB33EB9539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91975" y="935355"/>
              <a:ext cx="1826895" cy="25279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525780</xdr:colOff>
      <xdr:row>9</xdr:row>
      <xdr:rowOff>161925</xdr:rowOff>
    </xdr:from>
    <xdr:to>
      <xdr:col>4</xdr:col>
      <xdr:colOff>1139190</xdr:colOff>
      <xdr:row>23</xdr:row>
      <xdr:rowOff>34290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94036FAC-E9E5-5140-45BB-971AF3EAA3A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714625" y="1874520"/>
              <a:ext cx="1830705" cy="2541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495300</xdr:colOff>
      <xdr:row>0</xdr:row>
      <xdr:rowOff>0</xdr:rowOff>
    </xdr:from>
    <xdr:to>
      <xdr:col>11</xdr:col>
      <xdr:colOff>876300</xdr:colOff>
      <xdr:row>13</xdr:row>
      <xdr:rowOff>41910</xdr:rowOff>
    </xdr:to>
    <mc:AlternateContent xmlns:mc="http://schemas.openxmlformats.org/markup-compatibility/2006" xmlns:a14="http://schemas.microsoft.com/office/drawing/2010/main">
      <mc:Choice Requires="a14">
        <xdr:graphicFrame macro="">
          <xdr:nvGraphicFramePr>
            <xdr:cNvPr id="6" name="Delivery_Status">
              <a:extLst>
                <a:ext uri="{FF2B5EF4-FFF2-40B4-BE49-F238E27FC236}">
                  <a16:creationId xmlns:a16="http://schemas.microsoft.com/office/drawing/2014/main" id="{DD9B43A1-9A76-D99C-0B41-1079FBED4A7C}"/>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mlns="">
        <xdr:sp macro="" textlink="">
          <xdr:nvSpPr>
            <xdr:cNvPr id="0" name=""/>
            <xdr:cNvSpPr>
              <a:spLocks noTextEdit="1"/>
            </xdr:cNvSpPr>
          </xdr:nvSpPr>
          <xdr:spPr>
            <a:xfrm>
              <a:off x="9159240" y="0"/>
              <a:ext cx="1828800" cy="25184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endra Kumar" refreshedDate="46235.909617708334" createdVersion="8" refreshedVersion="8" minRefreshableVersion="3" recordCount="100" xr:uid="{F72679ED-D5C9-451E-8D82-96D0A2AE0AE3}">
  <cacheSource type="worksheet">
    <worksheetSource ref="A1:L101" sheet="Supply_Chain_Data"/>
  </cacheSource>
  <cacheFields count="13">
    <cacheField name="Order_ID" numFmtId="0">
      <sharedItems containsSemiMixedTypes="0" containsString="0" containsNumber="1" containsInteger="1" minValue="1001" maxValue="1100" count="1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sharedItems>
    </cacheField>
    <cacheField name="Order_Date" numFmtId="0">
      <sharedItems count="77">
        <s v="2026-01-30"/>
        <s v="2026-04-11"/>
        <s v="2026-02-11"/>
        <s v="2026-02-19"/>
        <s v="2026-04-03"/>
        <s v="2026-04-15"/>
        <s v="2026-01-02"/>
        <s v="2026-06-05"/>
        <s v="2026-04-16"/>
        <s v="2026-01-08"/>
        <s v="2026-03-16"/>
        <s v="2026-01-31"/>
        <s v="2026-03-04"/>
        <s v="2026-01-16"/>
        <s v="2026-03-31"/>
        <s v="2026-02-27"/>
        <s v="2026-06-16"/>
        <s v="2026-06-08"/>
        <s v="2026-03-28"/>
        <s v="2026-06-11"/>
        <s v="2026-05-19"/>
        <s v="2026-01-28"/>
        <s v="2026-06-09"/>
        <s v="2026-01-14"/>
        <s v="2026-01-21"/>
        <s v="2026-05-24"/>
        <s v="2026-05-01"/>
        <s v="2026-06-24"/>
        <s v="2026-05-14"/>
        <s v="2026-05-08"/>
        <s v="2026-03-05"/>
        <s v="2026-06-21"/>
        <s v="2026-02-24"/>
        <s v="2026-05-18"/>
        <s v="2026-01-18"/>
        <s v="2026-04-14"/>
        <s v="2026-01-09"/>
        <s v="2026-05-23"/>
        <s v="2026-04-26"/>
        <s v="2026-04-21"/>
        <s v="2026-06-15"/>
        <s v="2026-05-03"/>
        <s v="2026-06-18"/>
        <s v="2026-02-05"/>
        <s v="2026-04-20"/>
        <s v="2026-05-05"/>
        <s v="2026-05-12"/>
        <s v="2026-03-18"/>
        <s v="2026-03-02"/>
        <s v="2026-02-23"/>
        <s v="2026-02-13"/>
        <s v="2026-05-31"/>
        <s v="2026-01-06"/>
        <s v="2026-01-10"/>
        <s v="2026-04-05"/>
        <s v="2026-03-01"/>
        <s v="2026-02-17"/>
        <s v="2026-01-11"/>
        <s v="2026-02-14"/>
        <s v="2026-04-10"/>
        <s v="2026-06-28"/>
        <s v="2026-06-20"/>
        <s v="2026-04-22"/>
        <s v="2026-02-01"/>
        <s v="2026-01-01"/>
        <s v="2026-03-08"/>
        <s v="2026-05-16"/>
        <s v="2026-03-25"/>
        <s v="2026-01-24"/>
        <s v="2026-04-24"/>
        <s v="2026-03-09"/>
        <s v="2026-04-07"/>
        <s v="2026-05-30"/>
        <s v="2026-04-25"/>
        <s v="2026-02-06"/>
        <s v="2026-02-25"/>
        <s v="2026-04-08"/>
      </sharedItems>
      <fieldGroup par="12"/>
    </cacheField>
    <cacheField name="Customer" numFmtId="0">
      <sharedItems count="100">
        <s v="Customer_001"/>
        <s v="Customer_002"/>
        <s v="Customer_003"/>
        <s v="Customer_004"/>
        <s v="Customer_005"/>
        <s v="Customer_006"/>
        <s v="Customer_007"/>
        <s v="Customer_008"/>
        <s v="Customer_009"/>
        <s v="Customer_010"/>
        <s v="Customer_011"/>
        <s v="Customer_012"/>
        <s v="Customer_013"/>
        <s v="Customer_014"/>
        <s v="Customer_015"/>
        <s v="Customer_016"/>
        <s v="Customer_017"/>
        <s v="Customer_018"/>
        <s v="Customer_019"/>
        <s v="Customer_020"/>
        <s v="Customer_021"/>
        <s v="Customer_022"/>
        <s v="Customer_023"/>
        <s v="Customer_024"/>
        <s v="Customer_025"/>
        <s v="Customer_026"/>
        <s v="Customer_027"/>
        <s v="Customer_028"/>
        <s v="Customer_029"/>
        <s v="Customer_030"/>
        <s v="Customer_031"/>
        <s v="Customer_032"/>
        <s v="Customer_033"/>
        <s v="Customer_034"/>
        <s v="Customer_035"/>
        <s v="Customer_036"/>
        <s v="Customer_037"/>
        <s v="Customer_038"/>
        <s v="Customer_039"/>
        <s v="Customer_040"/>
        <s v="Customer_041"/>
        <s v="Customer_042"/>
        <s v="Customer_043"/>
        <s v="Customer_044"/>
        <s v="Customer_045"/>
        <s v="Customer_046"/>
        <s v="Customer_047"/>
        <s v="Customer_048"/>
        <s v="Customer_049"/>
        <s v="Customer_050"/>
        <s v="Customer_051"/>
        <s v="Customer_052"/>
        <s v="Customer_053"/>
        <s v="Customer_054"/>
        <s v="Customer_055"/>
        <s v="Customer_056"/>
        <s v="Customer_057"/>
        <s v="Customer_058"/>
        <s v="Customer_059"/>
        <s v="Customer_060"/>
        <s v="Customer_061"/>
        <s v="Customer_062"/>
        <s v="Customer_063"/>
        <s v="Customer_064"/>
        <s v="Customer_065"/>
        <s v="Customer_066"/>
        <s v="Customer_067"/>
        <s v="Customer_068"/>
        <s v="Customer_069"/>
        <s v="Customer_070"/>
        <s v="Customer_071"/>
        <s v="Customer_072"/>
        <s v="Customer_073"/>
        <s v="Customer_074"/>
        <s v="Customer_075"/>
        <s v="Customer_076"/>
        <s v="Customer_077"/>
        <s v="Customer_078"/>
        <s v="Customer_079"/>
        <s v="Customer_080"/>
        <s v="Customer_081"/>
        <s v="Customer_082"/>
        <s v="Customer_083"/>
        <s v="Customer_084"/>
        <s v="Customer_085"/>
        <s v="Customer_086"/>
        <s v="Customer_087"/>
        <s v="Customer_088"/>
        <s v="Customer_089"/>
        <s v="Customer_090"/>
        <s v="Customer_091"/>
        <s v="Customer_092"/>
        <s v="Customer_093"/>
        <s v="Customer_094"/>
        <s v="Customer_095"/>
        <s v="Customer_096"/>
        <s v="Customer_097"/>
        <s v="Customer_098"/>
        <s v="Customer_099"/>
        <s v="Customer_100"/>
      </sharedItems>
    </cacheField>
    <cacheField name="Region" numFmtId="0">
      <sharedItems count="4">
        <s v="South"/>
        <s v="West"/>
        <s v="North"/>
        <s v="East"/>
      </sharedItems>
    </cacheField>
    <cacheField name="Warehouse" numFmtId="0">
      <sharedItems count="3">
        <s v="WH-A"/>
        <s v="WH-B"/>
        <s v="WH-C"/>
      </sharedItems>
    </cacheField>
    <cacheField name="Category" numFmtId="0">
      <sharedItems count="4">
        <s v="Home"/>
        <s v="Electronics"/>
        <s v="Grocery"/>
        <s v="Fashion"/>
      </sharedItems>
    </cacheField>
    <cacheField name="Product" numFmtId="0">
      <sharedItems count="12">
        <s v="Lamp"/>
        <s v="Laptop"/>
        <s v="Headphones"/>
        <s v="Tea"/>
        <s v="Chair"/>
        <s v="Shoes"/>
        <s v="Rice"/>
        <s v="Jacket"/>
        <s v="Mobile"/>
        <s v="T-Shirt"/>
        <s v="Table"/>
        <s v="Oil"/>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600" maxValue="55000"/>
    </cacheField>
    <cacheField name="Revenue" numFmtId="0">
      <sharedItems containsSemiMixedTypes="0" containsString="0" containsNumber="1" containsInteger="1" minValue="1200" maxValue="550000"/>
    </cacheField>
    <cacheField name="Delivery_Days" numFmtId="0">
      <sharedItems containsSemiMixedTypes="0" containsString="0" containsNumber="1" containsInteger="1" minValue="1" maxValue="8"/>
    </cacheField>
    <cacheField name="Delivery_Status" numFmtId="0">
      <sharedItems count="2">
        <s v="Delayed"/>
        <s v="On-Time"/>
      </sharedItems>
    </cacheField>
    <cacheField name="Order_Date2" numFmtId="0" databaseField="0">
      <fieldGroup base="1">
        <discretePr count="77">
          <x v="0"/>
          <x v="3"/>
          <x v="1"/>
          <x v="1"/>
          <x v="3"/>
          <x v="3"/>
          <x v="0"/>
          <x v="4"/>
          <x v="3"/>
          <x v="0"/>
          <x v="2"/>
          <x v="0"/>
          <x v="2"/>
          <x v="0"/>
          <x v="2"/>
          <x v="1"/>
          <x v="5"/>
          <x v="5"/>
          <x v="2"/>
          <x v="5"/>
          <x v="4"/>
          <x v="0"/>
          <x v="5"/>
          <x v="0"/>
          <x v="0"/>
          <x v="4"/>
          <x v="4"/>
          <x v="5"/>
          <x v="4"/>
          <x v="4"/>
          <x v="2"/>
          <x v="5"/>
          <x v="1"/>
          <x v="4"/>
          <x v="0"/>
          <x v="3"/>
          <x v="0"/>
          <x v="4"/>
          <x v="3"/>
          <x v="3"/>
          <x v="5"/>
          <x v="4"/>
          <x v="5"/>
          <x v="1"/>
          <x v="3"/>
          <x v="4"/>
          <x v="4"/>
          <x v="2"/>
          <x v="2"/>
          <x v="1"/>
          <x v="1"/>
          <x v="4"/>
          <x v="0"/>
          <x v="0"/>
          <x v="3"/>
          <x v="2"/>
          <x v="1"/>
          <x v="0"/>
          <x v="1"/>
          <x v="3"/>
          <x v="5"/>
          <x v="5"/>
          <x v="3"/>
          <x v="1"/>
          <x v="0"/>
          <x v="2"/>
          <x v="4"/>
          <x v="2"/>
          <x v="0"/>
          <x v="3"/>
          <x v="2"/>
          <x v="3"/>
          <x v="4"/>
          <x v="3"/>
          <x v="1"/>
          <x v="1"/>
          <x v="3"/>
        </discretePr>
        <groupItems count="6">
          <s v="Group1"/>
          <s v="Group2"/>
          <s v="Group3"/>
          <s v="Group4"/>
          <s v="Group5"/>
          <s v="Group6"/>
        </groupItems>
      </fieldGroup>
    </cacheField>
  </cacheFields>
  <extLst>
    <ext xmlns:x14="http://schemas.microsoft.com/office/spreadsheetml/2009/9/main" uri="{725AE2AE-9491-48be-B2B4-4EB974FC3084}">
      <x14:pivotCacheDefinition pivotCacheId="1879343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x v="0"/>
    <x v="0"/>
    <n v="4"/>
    <n v="1500"/>
    <n v="6000"/>
    <n v="6"/>
    <x v="0"/>
  </r>
  <r>
    <x v="1"/>
    <x v="1"/>
    <x v="1"/>
    <x v="1"/>
    <x v="0"/>
    <x v="1"/>
    <x v="1"/>
    <n v="8"/>
    <n v="55000"/>
    <n v="440000"/>
    <n v="1"/>
    <x v="1"/>
  </r>
  <r>
    <x v="2"/>
    <x v="2"/>
    <x v="2"/>
    <x v="0"/>
    <x v="0"/>
    <x v="1"/>
    <x v="2"/>
    <n v="3"/>
    <n v="2500"/>
    <n v="7500"/>
    <n v="6"/>
    <x v="0"/>
  </r>
  <r>
    <x v="3"/>
    <x v="3"/>
    <x v="3"/>
    <x v="0"/>
    <x v="1"/>
    <x v="0"/>
    <x v="0"/>
    <n v="8"/>
    <n v="1500"/>
    <n v="12000"/>
    <n v="3"/>
    <x v="1"/>
  </r>
  <r>
    <x v="4"/>
    <x v="4"/>
    <x v="4"/>
    <x v="2"/>
    <x v="1"/>
    <x v="2"/>
    <x v="3"/>
    <n v="6"/>
    <n v="600"/>
    <n v="3600"/>
    <n v="1"/>
    <x v="1"/>
  </r>
  <r>
    <x v="5"/>
    <x v="5"/>
    <x v="5"/>
    <x v="2"/>
    <x v="2"/>
    <x v="0"/>
    <x v="4"/>
    <n v="10"/>
    <n v="3500"/>
    <n v="35000"/>
    <n v="6"/>
    <x v="0"/>
  </r>
  <r>
    <x v="6"/>
    <x v="6"/>
    <x v="6"/>
    <x v="0"/>
    <x v="1"/>
    <x v="0"/>
    <x v="0"/>
    <n v="3"/>
    <n v="1500"/>
    <n v="4500"/>
    <n v="4"/>
    <x v="1"/>
  </r>
  <r>
    <x v="7"/>
    <x v="7"/>
    <x v="7"/>
    <x v="0"/>
    <x v="0"/>
    <x v="1"/>
    <x v="2"/>
    <n v="4"/>
    <n v="2500"/>
    <n v="10000"/>
    <n v="6"/>
    <x v="0"/>
  </r>
  <r>
    <x v="8"/>
    <x v="8"/>
    <x v="8"/>
    <x v="3"/>
    <x v="0"/>
    <x v="3"/>
    <x v="5"/>
    <n v="1"/>
    <n v="3000"/>
    <n v="3000"/>
    <n v="1"/>
    <x v="1"/>
  </r>
  <r>
    <x v="9"/>
    <x v="9"/>
    <x v="9"/>
    <x v="1"/>
    <x v="2"/>
    <x v="1"/>
    <x v="1"/>
    <n v="8"/>
    <n v="55000"/>
    <n v="440000"/>
    <n v="5"/>
    <x v="0"/>
  </r>
  <r>
    <x v="10"/>
    <x v="10"/>
    <x v="10"/>
    <x v="3"/>
    <x v="2"/>
    <x v="2"/>
    <x v="6"/>
    <n v="5"/>
    <n v="1200"/>
    <n v="6000"/>
    <n v="7"/>
    <x v="0"/>
  </r>
  <r>
    <x v="11"/>
    <x v="11"/>
    <x v="11"/>
    <x v="3"/>
    <x v="1"/>
    <x v="1"/>
    <x v="2"/>
    <n v="8"/>
    <n v="2500"/>
    <n v="20000"/>
    <n v="6"/>
    <x v="0"/>
  </r>
  <r>
    <x v="12"/>
    <x v="12"/>
    <x v="12"/>
    <x v="2"/>
    <x v="2"/>
    <x v="2"/>
    <x v="6"/>
    <n v="3"/>
    <n v="1200"/>
    <n v="3600"/>
    <n v="4"/>
    <x v="1"/>
  </r>
  <r>
    <x v="13"/>
    <x v="13"/>
    <x v="13"/>
    <x v="1"/>
    <x v="1"/>
    <x v="3"/>
    <x v="7"/>
    <n v="6"/>
    <n v="4500"/>
    <n v="27000"/>
    <n v="7"/>
    <x v="0"/>
  </r>
  <r>
    <x v="14"/>
    <x v="14"/>
    <x v="14"/>
    <x v="2"/>
    <x v="1"/>
    <x v="1"/>
    <x v="8"/>
    <n v="4"/>
    <n v="18000"/>
    <n v="72000"/>
    <n v="6"/>
    <x v="0"/>
  </r>
  <r>
    <x v="15"/>
    <x v="15"/>
    <x v="15"/>
    <x v="3"/>
    <x v="1"/>
    <x v="1"/>
    <x v="8"/>
    <n v="2"/>
    <n v="18000"/>
    <n v="36000"/>
    <n v="2"/>
    <x v="1"/>
  </r>
  <r>
    <x v="16"/>
    <x v="16"/>
    <x v="16"/>
    <x v="1"/>
    <x v="2"/>
    <x v="1"/>
    <x v="2"/>
    <n v="6"/>
    <n v="2500"/>
    <n v="15000"/>
    <n v="7"/>
    <x v="0"/>
  </r>
  <r>
    <x v="17"/>
    <x v="17"/>
    <x v="17"/>
    <x v="0"/>
    <x v="1"/>
    <x v="3"/>
    <x v="9"/>
    <n v="3"/>
    <n v="1200"/>
    <n v="3600"/>
    <n v="8"/>
    <x v="0"/>
  </r>
  <r>
    <x v="18"/>
    <x v="18"/>
    <x v="18"/>
    <x v="3"/>
    <x v="0"/>
    <x v="0"/>
    <x v="4"/>
    <n v="6"/>
    <n v="3500"/>
    <n v="21000"/>
    <n v="3"/>
    <x v="1"/>
  </r>
  <r>
    <x v="19"/>
    <x v="19"/>
    <x v="19"/>
    <x v="2"/>
    <x v="0"/>
    <x v="3"/>
    <x v="9"/>
    <n v="5"/>
    <n v="1200"/>
    <n v="6000"/>
    <n v="2"/>
    <x v="1"/>
  </r>
  <r>
    <x v="20"/>
    <x v="20"/>
    <x v="20"/>
    <x v="3"/>
    <x v="0"/>
    <x v="3"/>
    <x v="5"/>
    <n v="5"/>
    <n v="3000"/>
    <n v="15000"/>
    <n v="2"/>
    <x v="1"/>
  </r>
  <r>
    <x v="21"/>
    <x v="21"/>
    <x v="21"/>
    <x v="0"/>
    <x v="1"/>
    <x v="0"/>
    <x v="0"/>
    <n v="6"/>
    <n v="1500"/>
    <n v="9000"/>
    <n v="3"/>
    <x v="1"/>
  </r>
  <r>
    <x v="22"/>
    <x v="22"/>
    <x v="22"/>
    <x v="1"/>
    <x v="2"/>
    <x v="3"/>
    <x v="9"/>
    <n v="3"/>
    <n v="1200"/>
    <n v="3600"/>
    <n v="5"/>
    <x v="0"/>
  </r>
  <r>
    <x v="23"/>
    <x v="23"/>
    <x v="23"/>
    <x v="3"/>
    <x v="0"/>
    <x v="1"/>
    <x v="8"/>
    <n v="10"/>
    <n v="18000"/>
    <n v="180000"/>
    <n v="8"/>
    <x v="0"/>
  </r>
  <r>
    <x v="24"/>
    <x v="24"/>
    <x v="24"/>
    <x v="2"/>
    <x v="1"/>
    <x v="3"/>
    <x v="7"/>
    <n v="3"/>
    <n v="4500"/>
    <n v="13500"/>
    <n v="1"/>
    <x v="1"/>
  </r>
  <r>
    <x v="25"/>
    <x v="25"/>
    <x v="25"/>
    <x v="1"/>
    <x v="2"/>
    <x v="0"/>
    <x v="10"/>
    <n v="4"/>
    <n v="6500"/>
    <n v="26000"/>
    <n v="2"/>
    <x v="1"/>
  </r>
  <r>
    <x v="26"/>
    <x v="26"/>
    <x v="26"/>
    <x v="0"/>
    <x v="2"/>
    <x v="2"/>
    <x v="6"/>
    <n v="9"/>
    <n v="1200"/>
    <n v="10800"/>
    <n v="4"/>
    <x v="1"/>
  </r>
  <r>
    <x v="27"/>
    <x v="27"/>
    <x v="27"/>
    <x v="3"/>
    <x v="0"/>
    <x v="2"/>
    <x v="11"/>
    <n v="10"/>
    <n v="1800"/>
    <n v="18000"/>
    <n v="7"/>
    <x v="0"/>
  </r>
  <r>
    <x v="28"/>
    <x v="28"/>
    <x v="28"/>
    <x v="1"/>
    <x v="2"/>
    <x v="1"/>
    <x v="1"/>
    <n v="4"/>
    <n v="55000"/>
    <n v="220000"/>
    <n v="8"/>
    <x v="0"/>
  </r>
  <r>
    <x v="29"/>
    <x v="29"/>
    <x v="29"/>
    <x v="3"/>
    <x v="2"/>
    <x v="3"/>
    <x v="9"/>
    <n v="8"/>
    <n v="1200"/>
    <n v="9600"/>
    <n v="8"/>
    <x v="0"/>
  </r>
  <r>
    <x v="30"/>
    <x v="11"/>
    <x v="30"/>
    <x v="2"/>
    <x v="2"/>
    <x v="0"/>
    <x v="0"/>
    <n v="9"/>
    <n v="1500"/>
    <n v="13500"/>
    <n v="4"/>
    <x v="1"/>
  </r>
  <r>
    <x v="31"/>
    <x v="30"/>
    <x v="31"/>
    <x v="2"/>
    <x v="2"/>
    <x v="3"/>
    <x v="5"/>
    <n v="6"/>
    <n v="3000"/>
    <n v="18000"/>
    <n v="2"/>
    <x v="1"/>
  </r>
  <r>
    <x v="32"/>
    <x v="31"/>
    <x v="32"/>
    <x v="0"/>
    <x v="2"/>
    <x v="2"/>
    <x v="6"/>
    <n v="1"/>
    <n v="1200"/>
    <n v="1200"/>
    <n v="1"/>
    <x v="1"/>
  </r>
  <r>
    <x v="33"/>
    <x v="32"/>
    <x v="33"/>
    <x v="2"/>
    <x v="0"/>
    <x v="2"/>
    <x v="3"/>
    <n v="9"/>
    <n v="600"/>
    <n v="5400"/>
    <n v="6"/>
    <x v="0"/>
  </r>
  <r>
    <x v="34"/>
    <x v="33"/>
    <x v="34"/>
    <x v="0"/>
    <x v="0"/>
    <x v="1"/>
    <x v="2"/>
    <n v="10"/>
    <n v="2500"/>
    <n v="25000"/>
    <n v="1"/>
    <x v="1"/>
  </r>
  <r>
    <x v="35"/>
    <x v="34"/>
    <x v="35"/>
    <x v="0"/>
    <x v="0"/>
    <x v="2"/>
    <x v="11"/>
    <n v="5"/>
    <n v="1800"/>
    <n v="9000"/>
    <n v="2"/>
    <x v="1"/>
  </r>
  <r>
    <x v="36"/>
    <x v="7"/>
    <x v="36"/>
    <x v="0"/>
    <x v="2"/>
    <x v="2"/>
    <x v="6"/>
    <n v="5"/>
    <n v="1200"/>
    <n v="6000"/>
    <n v="5"/>
    <x v="0"/>
  </r>
  <r>
    <x v="37"/>
    <x v="32"/>
    <x v="37"/>
    <x v="2"/>
    <x v="0"/>
    <x v="3"/>
    <x v="9"/>
    <n v="5"/>
    <n v="1200"/>
    <n v="6000"/>
    <n v="8"/>
    <x v="0"/>
  </r>
  <r>
    <x v="38"/>
    <x v="35"/>
    <x v="38"/>
    <x v="2"/>
    <x v="1"/>
    <x v="2"/>
    <x v="3"/>
    <n v="9"/>
    <n v="600"/>
    <n v="5400"/>
    <n v="8"/>
    <x v="0"/>
  </r>
  <r>
    <x v="39"/>
    <x v="36"/>
    <x v="39"/>
    <x v="1"/>
    <x v="1"/>
    <x v="0"/>
    <x v="4"/>
    <n v="7"/>
    <n v="3500"/>
    <n v="24500"/>
    <n v="4"/>
    <x v="1"/>
  </r>
  <r>
    <x v="40"/>
    <x v="37"/>
    <x v="40"/>
    <x v="2"/>
    <x v="0"/>
    <x v="3"/>
    <x v="9"/>
    <n v="10"/>
    <n v="1200"/>
    <n v="12000"/>
    <n v="8"/>
    <x v="0"/>
  </r>
  <r>
    <x v="41"/>
    <x v="38"/>
    <x v="41"/>
    <x v="0"/>
    <x v="1"/>
    <x v="3"/>
    <x v="9"/>
    <n v="3"/>
    <n v="1200"/>
    <n v="3600"/>
    <n v="5"/>
    <x v="0"/>
  </r>
  <r>
    <x v="42"/>
    <x v="39"/>
    <x v="42"/>
    <x v="1"/>
    <x v="1"/>
    <x v="0"/>
    <x v="0"/>
    <n v="3"/>
    <n v="1500"/>
    <n v="4500"/>
    <n v="1"/>
    <x v="1"/>
  </r>
  <r>
    <x v="43"/>
    <x v="40"/>
    <x v="43"/>
    <x v="1"/>
    <x v="2"/>
    <x v="1"/>
    <x v="2"/>
    <n v="7"/>
    <n v="2500"/>
    <n v="17500"/>
    <n v="1"/>
    <x v="1"/>
  </r>
  <r>
    <x v="44"/>
    <x v="41"/>
    <x v="44"/>
    <x v="1"/>
    <x v="0"/>
    <x v="2"/>
    <x v="3"/>
    <n v="8"/>
    <n v="600"/>
    <n v="4800"/>
    <n v="8"/>
    <x v="0"/>
  </r>
  <r>
    <x v="45"/>
    <x v="42"/>
    <x v="45"/>
    <x v="2"/>
    <x v="1"/>
    <x v="3"/>
    <x v="5"/>
    <n v="3"/>
    <n v="3000"/>
    <n v="9000"/>
    <n v="2"/>
    <x v="1"/>
  </r>
  <r>
    <x v="46"/>
    <x v="17"/>
    <x v="46"/>
    <x v="2"/>
    <x v="2"/>
    <x v="1"/>
    <x v="2"/>
    <n v="5"/>
    <n v="2500"/>
    <n v="12500"/>
    <n v="8"/>
    <x v="0"/>
  </r>
  <r>
    <x v="47"/>
    <x v="43"/>
    <x v="47"/>
    <x v="1"/>
    <x v="0"/>
    <x v="0"/>
    <x v="10"/>
    <n v="7"/>
    <n v="6500"/>
    <n v="45500"/>
    <n v="5"/>
    <x v="0"/>
  </r>
  <r>
    <x v="48"/>
    <x v="44"/>
    <x v="48"/>
    <x v="2"/>
    <x v="1"/>
    <x v="2"/>
    <x v="6"/>
    <n v="8"/>
    <n v="1200"/>
    <n v="9600"/>
    <n v="8"/>
    <x v="0"/>
  </r>
  <r>
    <x v="49"/>
    <x v="9"/>
    <x v="49"/>
    <x v="1"/>
    <x v="1"/>
    <x v="1"/>
    <x v="8"/>
    <n v="4"/>
    <n v="18000"/>
    <n v="72000"/>
    <n v="3"/>
    <x v="1"/>
  </r>
  <r>
    <x v="50"/>
    <x v="45"/>
    <x v="50"/>
    <x v="0"/>
    <x v="2"/>
    <x v="3"/>
    <x v="7"/>
    <n v="7"/>
    <n v="4500"/>
    <n v="31500"/>
    <n v="1"/>
    <x v="1"/>
  </r>
  <r>
    <x v="51"/>
    <x v="46"/>
    <x v="51"/>
    <x v="1"/>
    <x v="2"/>
    <x v="3"/>
    <x v="9"/>
    <n v="2"/>
    <n v="1200"/>
    <n v="2400"/>
    <n v="5"/>
    <x v="0"/>
  </r>
  <r>
    <x v="52"/>
    <x v="47"/>
    <x v="52"/>
    <x v="0"/>
    <x v="0"/>
    <x v="0"/>
    <x v="0"/>
    <n v="8"/>
    <n v="1500"/>
    <n v="12000"/>
    <n v="7"/>
    <x v="0"/>
  </r>
  <r>
    <x v="53"/>
    <x v="48"/>
    <x v="53"/>
    <x v="0"/>
    <x v="2"/>
    <x v="2"/>
    <x v="3"/>
    <n v="9"/>
    <n v="600"/>
    <n v="5400"/>
    <n v="5"/>
    <x v="0"/>
  </r>
  <r>
    <x v="54"/>
    <x v="49"/>
    <x v="54"/>
    <x v="3"/>
    <x v="0"/>
    <x v="2"/>
    <x v="3"/>
    <n v="10"/>
    <n v="600"/>
    <n v="6000"/>
    <n v="1"/>
    <x v="1"/>
  </r>
  <r>
    <x v="55"/>
    <x v="50"/>
    <x v="55"/>
    <x v="1"/>
    <x v="0"/>
    <x v="3"/>
    <x v="9"/>
    <n v="6"/>
    <n v="1200"/>
    <n v="7200"/>
    <n v="2"/>
    <x v="1"/>
  </r>
  <r>
    <x v="56"/>
    <x v="51"/>
    <x v="56"/>
    <x v="0"/>
    <x v="0"/>
    <x v="1"/>
    <x v="8"/>
    <n v="4"/>
    <n v="18000"/>
    <n v="72000"/>
    <n v="3"/>
    <x v="1"/>
  </r>
  <r>
    <x v="57"/>
    <x v="26"/>
    <x v="57"/>
    <x v="2"/>
    <x v="1"/>
    <x v="2"/>
    <x v="11"/>
    <n v="8"/>
    <n v="1800"/>
    <n v="14400"/>
    <n v="5"/>
    <x v="0"/>
  </r>
  <r>
    <x v="58"/>
    <x v="52"/>
    <x v="58"/>
    <x v="2"/>
    <x v="1"/>
    <x v="1"/>
    <x v="2"/>
    <n v="6"/>
    <n v="2500"/>
    <n v="15000"/>
    <n v="8"/>
    <x v="0"/>
  </r>
  <r>
    <x v="59"/>
    <x v="53"/>
    <x v="59"/>
    <x v="3"/>
    <x v="2"/>
    <x v="1"/>
    <x v="2"/>
    <n v="9"/>
    <n v="2500"/>
    <n v="22500"/>
    <n v="2"/>
    <x v="1"/>
  </r>
  <r>
    <x v="60"/>
    <x v="5"/>
    <x v="60"/>
    <x v="3"/>
    <x v="0"/>
    <x v="3"/>
    <x v="5"/>
    <n v="8"/>
    <n v="3000"/>
    <n v="24000"/>
    <n v="2"/>
    <x v="1"/>
  </r>
  <r>
    <x v="61"/>
    <x v="54"/>
    <x v="61"/>
    <x v="2"/>
    <x v="2"/>
    <x v="1"/>
    <x v="8"/>
    <n v="8"/>
    <n v="18000"/>
    <n v="144000"/>
    <n v="6"/>
    <x v="0"/>
  </r>
  <r>
    <x v="62"/>
    <x v="55"/>
    <x v="62"/>
    <x v="3"/>
    <x v="0"/>
    <x v="1"/>
    <x v="2"/>
    <n v="9"/>
    <n v="2500"/>
    <n v="22500"/>
    <n v="4"/>
    <x v="1"/>
  </r>
  <r>
    <x v="63"/>
    <x v="7"/>
    <x v="63"/>
    <x v="2"/>
    <x v="2"/>
    <x v="3"/>
    <x v="5"/>
    <n v="3"/>
    <n v="3000"/>
    <n v="9000"/>
    <n v="8"/>
    <x v="0"/>
  </r>
  <r>
    <x v="64"/>
    <x v="56"/>
    <x v="64"/>
    <x v="1"/>
    <x v="2"/>
    <x v="3"/>
    <x v="9"/>
    <n v="8"/>
    <n v="1200"/>
    <n v="9600"/>
    <n v="8"/>
    <x v="0"/>
  </r>
  <r>
    <x v="65"/>
    <x v="19"/>
    <x v="65"/>
    <x v="1"/>
    <x v="1"/>
    <x v="1"/>
    <x v="1"/>
    <n v="10"/>
    <n v="55000"/>
    <n v="550000"/>
    <n v="6"/>
    <x v="0"/>
  </r>
  <r>
    <x v="66"/>
    <x v="33"/>
    <x v="66"/>
    <x v="2"/>
    <x v="0"/>
    <x v="3"/>
    <x v="7"/>
    <n v="8"/>
    <n v="4500"/>
    <n v="36000"/>
    <n v="6"/>
    <x v="0"/>
  </r>
  <r>
    <x v="67"/>
    <x v="57"/>
    <x v="67"/>
    <x v="3"/>
    <x v="1"/>
    <x v="2"/>
    <x v="3"/>
    <n v="7"/>
    <n v="600"/>
    <n v="4200"/>
    <n v="7"/>
    <x v="0"/>
  </r>
  <r>
    <x v="68"/>
    <x v="58"/>
    <x v="68"/>
    <x v="1"/>
    <x v="0"/>
    <x v="1"/>
    <x v="2"/>
    <n v="6"/>
    <n v="2500"/>
    <n v="15000"/>
    <n v="7"/>
    <x v="0"/>
  </r>
  <r>
    <x v="69"/>
    <x v="59"/>
    <x v="69"/>
    <x v="0"/>
    <x v="0"/>
    <x v="3"/>
    <x v="9"/>
    <n v="3"/>
    <n v="1200"/>
    <n v="3600"/>
    <n v="4"/>
    <x v="1"/>
  </r>
  <r>
    <x v="70"/>
    <x v="60"/>
    <x v="70"/>
    <x v="2"/>
    <x v="1"/>
    <x v="0"/>
    <x v="0"/>
    <n v="5"/>
    <n v="1500"/>
    <n v="7500"/>
    <n v="1"/>
    <x v="1"/>
  </r>
  <r>
    <x v="71"/>
    <x v="22"/>
    <x v="71"/>
    <x v="0"/>
    <x v="0"/>
    <x v="3"/>
    <x v="9"/>
    <n v="1"/>
    <n v="1200"/>
    <n v="1200"/>
    <n v="3"/>
    <x v="1"/>
  </r>
  <r>
    <x v="72"/>
    <x v="61"/>
    <x v="72"/>
    <x v="3"/>
    <x v="0"/>
    <x v="2"/>
    <x v="6"/>
    <n v="9"/>
    <n v="1200"/>
    <n v="10800"/>
    <n v="3"/>
    <x v="1"/>
  </r>
  <r>
    <x v="73"/>
    <x v="0"/>
    <x v="73"/>
    <x v="0"/>
    <x v="2"/>
    <x v="1"/>
    <x v="2"/>
    <n v="2"/>
    <n v="2500"/>
    <n v="5000"/>
    <n v="1"/>
    <x v="1"/>
  </r>
  <r>
    <x v="74"/>
    <x v="56"/>
    <x v="74"/>
    <x v="3"/>
    <x v="2"/>
    <x v="2"/>
    <x v="11"/>
    <n v="6"/>
    <n v="1800"/>
    <n v="10800"/>
    <n v="5"/>
    <x v="0"/>
  </r>
  <r>
    <x v="75"/>
    <x v="62"/>
    <x v="75"/>
    <x v="2"/>
    <x v="1"/>
    <x v="2"/>
    <x v="3"/>
    <n v="8"/>
    <n v="600"/>
    <n v="4800"/>
    <n v="4"/>
    <x v="1"/>
  </r>
  <r>
    <x v="76"/>
    <x v="63"/>
    <x v="76"/>
    <x v="2"/>
    <x v="2"/>
    <x v="2"/>
    <x v="6"/>
    <n v="2"/>
    <n v="1200"/>
    <n v="2400"/>
    <n v="6"/>
    <x v="0"/>
  </r>
  <r>
    <x v="77"/>
    <x v="25"/>
    <x v="77"/>
    <x v="3"/>
    <x v="1"/>
    <x v="0"/>
    <x v="10"/>
    <n v="9"/>
    <n v="6500"/>
    <n v="58500"/>
    <n v="4"/>
    <x v="1"/>
  </r>
  <r>
    <x v="78"/>
    <x v="64"/>
    <x v="78"/>
    <x v="2"/>
    <x v="1"/>
    <x v="0"/>
    <x v="0"/>
    <n v="2"/>
    <n v="1500"/>
    <n v="3000"/>
    <n v="1"/>
    <x v="1"/>
  </r>
  <r>
    <x v="79"/>
    <x v="65"/>
    <x v="79"/>
    <x v="2"/>
    <x v="2"/>
    <x v="2"/>
    <x v="11"/>
    <n v="8"/>
    <n v="1800"/>
    <n v="14400"/>
    <n v="1"/>
    <x v="1"/>
  </r>
  <r>
    <x v="80"/>
    <x v="66"/>
    <x v="80"/>
    <x v="3"/>
    <x v="2"/>
    <x v="0"/>
    <x v="4"/>
    <n v="2"/>
    <n v="3500"/>
    <n v="7000"/>
    <n v="1"/>
    <x v="1"/>
  </r>
  <r>
    <x v="81"/>
    <x v="32"/>
    <x v="81"/>
    <x v="3"/>
    <x v="1"/>
    <x v="0"/>
    <x v="0"/>
    <n v="8"/>
    <n v="1500"/>
    <n v="12000"/>
    <n v="3"/>
    <x v="1"/>
  </r>
  <r>
    <x v="82"/>
    <x v="67"/>
    <x v="82"/>
    <x v="0"/>
    <x v="2"/>
    <x v="2"/>
    <x v="6"/>
    <n v="5"/>
    <n v="1200"/>
    <n v="6000"/>
    <n v="5"/>
    <x v="0"/>
  </r>
  <r>
    <x v="83"/>
    <x v="7"/>
    <x v="83"/>
    <x v="0"/>
    <x v="0"/>
    <x v="0"/>
    <x v="10"/>
    <n v="6"/>
    <n v="6500"/>
    <n v="39000"/>
    <n v="3"/>
    <x v="1"/>
  </r>
  <r>
    <x v="84"/>
    <x v="68"/>
    <x v="84"/>
    <x v="3"/>
    <x v="1"/>
    <x v="1"/>
    <x v="1"/>
    <n v="6"/>
    <n v="55000"/>
    <n v="330000"/>
    <n v="1"/>
    <x v="1"/>
  </r>
  <r>
    <x v="85"/>
    <x v="68"/>
    <x v="85"/>
    <x v="0"/>
    <x v="0"/>
    <x v="3"/>
    <x v="9"/>
    <n v="4"/>
    <n v="1200"/>
    <n v="4800"/>
    <n v="7"/>
    <x v="0"/>
  </r>
  <r>
    <x v="86"/>
    <x v="69"/>
    <x v="86"/>
    <x v="3"/>
    <x v="0"/>
    <x v="1"/>
    <x v="1"/>
    <n v="9"/>
    <n v="55000"/>
    <n v="495000"/>
    <n v="4"/>
    <x v="1"/>
  </r>
  <r>
    <x v="87"/>
    <x v="70"/>
    <x v="87"/>
    <x v="0"/>
    <x v="0"/>
    <x v="2"/>
    <x v="3"/>
    <n v="7"/>
    <n v="600"/>
    <n v="4200"/>
    <n v="7"/>
    <x v="0"/>
  </r>
  <r>
    <x v="88"/>
    <x v="71"/>
    <x v="88"/>
    <x v="0"/>
    <x v="1"/>
    <x v="0"/>
    <x v="4"/>
    <n v="3"/>
    <n v="3500"/>
    <n v="10500"/>
    <n v="4"/>
    <x v="1"/>
  </r>
  <r>
    <x v="89"/>
    <x v="72"/>
    <x v="89"/>
    <x v="2"/>
    <x v="2"/>
    <x v="3"/>
    <x v="5"/>
    <n v="3"/>
    <n v="3000"/>
    <n v="9000"/>
    <n v="5"/>
    <x v="0"/>
  </r>
  <r>
    <x v="90"/>
    <x v="18"/>
    <x v="90"/>
    <x v="3"/>
    <x v="2"/>
    <x v="0"/>
    <x v="10"/>
    <n v="2"/>
    <n v="6500"/>
    <n v="13000"/>
    <n v="5"/>
    <x v="0"/>
  </r>
  <r>
    <x v="91"/>
    <x v="2"/>
    <x v="91"/>
    <x v="3"/>
    <x v="1"/>
    <x v="3"/>
    <x v="7"/>
    <n v="9"/>
    <n v="4500"/>
    <n v="40500"/>
    <n v="4"/>
    <x v="1"/>
  </r>
  <r>
    <x v="92"/>
    <x v="73"/>
    <x v="92"/>
    <x v="1"/>
    <x v="0"/>
    <x v="1"/>
    <x v="1"/>
    <n v="5"/>
    <n v="55000"/>
    <n v="275000"/>
    <n v="2"/>
    <x v="1"/>
  </r>
  <r>
    <x v="93"/>
    <x v="3"/>
    <x v="93"/>
    <x v="0"/>
    <x v="0"/>
    <x v="2"/>
    <x v="11"/>
    <n v="6"/>
    <n v="1800"/>
    <n v="10800"/>
    <n v="3"/>
    <x v="1"/>
  </r>
  <r>
    <x v="94"/>
    <x v="74"/>
    <x v="94"/>
    <x v="1"/>
    <x v="2"/>
    <x v="0"/>
    <x v="0"/>
    <n v="7"/>
    <n v="1500"/>
    <n v="10500"/>
    <n v="6"/>
    <x v="0"/>
  </r>
  <r>
    <x v="95"/>
    <x v="3"/>
    <x v="95"/>
    <x v="1"/>
    <x v="0"/>
    <x v="0"/>
    <x v="4"/>
    <n v="4"/>
    <n v="3500"/>
    <n v="14000"/>
    <n v="2"/>
    <x v="1"/>
  </r>
  <r>
    <x v="96"/>
    <x v="5"/>
    <x v="96"/>
    <x v="0"/>
    <x v="2"/>
    <x v="2"/>
    <x v="11"/>
    <n v="7"/>
    <n v="1800"/>
    <n v="12600"/>
    <n v="5"/>
    <x v="0"/>
  </r>
  <r>
    <x v="97"/>
    <x v="75"/>
    <x v="97"/>
    <x v="1"/>
    <x v="0"/>
    <x v="2"/>
    <x v="11"/>
    <n v="9"/>
    <n v="1800"/>
    <n v="16200"/>
    <n v="4"/>
    <x v="1"/>
  </r>
  <r>
    <x v="98"/>
    <x v="76"/>
    <x v="98"/>
    <x v="0"/>
    <x v="2"/>
    <x v="3"/>
    <x v="9"/>
    <n v="5"/>
    <n v="1200"/>
    <n v="6000"/>
    <n v="8"/>
    <x v="0"/>
  </r>
  <r>
    <x v="99"/>
    <x v="46"/>
    <x v="99"/>
    <x v="3"/>
    <x v="2"/>
    <x v="3"/>
    <x v="7"/>
    <n v="1"/>
    <n v="4500"/>
    <n v="4500"/>
    <n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FFB72D-37DB-4542-B941-E460E1DBF4A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U58:V63" firstHeaderRow="1" firstDataRow="1" firstDataCol="1"/>
  <pivotFields count="13">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78">
        <item x="64"/>
        <item x="6"/>
        <item x="52"/>
        <item x="9"/>
        <item x="36"/>
        <item x="53"/>
        <item x="57"/>
        <item x="23"/>
        <item x="13"/>
        <item x="34"/>
        <item x="24"/>
        <item x="68"/>
        <item x="21"/>
        <item x="0"/>
        <item x="11"/>
        <item x="63"/>
        <item x="43"/>
        <item x="74"/>
        <item x="2"/>
        <item x="50"/>
        <item x="58"/>
        <item x="56"/>
        <item x="3"/>
        <item x="49"/>
        <item x="32"/>
        <item x="75"/>
        <item x="15"/>
        <item x="55"/>
        <item x="48"/>
        <item x="12"/>
        <item x="30"/>
        <item x="65"/>
        <item x="70"/>
        <item x="10"/>
        <item x="47"/>
        <item x="67"/>
        <item x="18"/>
        <item x="14"/>
        <item x="4"/>
        <item x="54"/>
        <item x="71"/>
        <item x="76"/>
        <item x="59"/>
        <item x="1"/>
        <item x="35"/>
        <item x="5"/>
        <item x="8"/>
        <item x="44"/>
        <item x="39"/>
        <item x="62"/>
        <item x="69"/>
        <item x="73"/>
        <item x="38"/>
        <item x="26"/>
        <item x="41"/>
        <item x="45"/>
        <item x="29"/>
        <item x="46"/>
        <item x="28"/>
        <item x="66"/>
        <item x="33"/>
        <item x="20"/>
        <item x="37"/>
        <item x="25"/>
        <item x="72"/>
        <item x="51"/>
        <item x="7"/>
        <item x="17"/>
        <item x="22"/>
        <item x="19"/>
        <item x="40"/>
        <item x="16"/>
        <item x="42"/>
        <item x="61"/>
        <item x="31"/>
        <item x="27"/>
        <item x="60"/>
        <item t="default"/>
      </items>
    </pivotField>
    <pivotField showAll="0"/>
    <pivotField showAll="0">
      <items count="5">
        <item x="3"/>
        <item x="2"/>
        <item x="0"/>
        <item x="1"/>
        <item t="default"/>
      </items>
    </pivotField>
    <pivotField showAll="0">
      <items count="4">
        <item x="0"/>
        <item x="1"/>
        <item x="2"/>
        <item t="default"/>
      </items>
    </pivotField>
    <pivotField axis="axisRow" showAll="0">
      <items count="5">
        <item x="1"/>
        <item x="3"/>
        <item x="2"/>
        <item x="0"/>
        <item t="default"/>
      </items>
    </pivotField>
    <pivotField showAll="0"/>
    <pivotField showAll="0"/>
    <pivotField showAll="0"/>
    <pivotField dataField="1" showAll="0"/>
    <pivotField showAll="0"/>
    <pivotField showAll="0">
      <items count="3">
        <item x="0"/>
        <item x="1"/>
        <item t="default"/>
      </items>
    </pivotField>
    <pivotField showAll="0">
      <items count="7">
        <item x="0"/>
        <item x="1"/>
        <item x="2"/>
        <item x="3"/>
        <item x="4"/>
        <item x="5"/>
        <item t="default"/>
      </items>
    </pivotField>
  </pivotFields>
  <rowFields count="1">
    <field x="5"/>
  </rowFields>
  <rowItems count="5">
    <i>
      <x/>
    </i>
    <i>
      <x v="1"/>
    </i>
    <i>
      <x v="2"/>
    </i>
    <i>
      <x v="3"/>
    </i>
    <i t="grand">
      <x/>
    </i>
  </rowItems>
  <colItems count="1">
    <i/>
  </colItems>
  <dataFields count="1">
    <dataField name="Sum of Revenue" fld="9"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38A27D-60D8-4297-AD79-E2489A883184}"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U8:V13" firstHeaderRow="1" firstDataRow="1" firstDataCol="1"/>
  <pivotFields count="1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78">
        <item x="64"/>
        <item x="6"/>
        <item x="52"/>
        <item x="9"/>
        <item x="36"/>
        <item x="53"/>
        <item x="57"/>
        <item x="23"/>
        <item x="13"/>
        <item x="34"/>
        <item x="24"/>
        <item x="68"/>
        <item x="21"/>
        <item x="0"/>
        <item x="11"/>
        <item x="63"/>
        <item x="43"/>
        <item x="74"/>
        <item x="2"/>
        <item x="50"/>
        <item x="58"/>
        <item x="56"/>
        <item x="3"/>
        <item x="49"/>
        <item x="32"/>
        <item x="75"/>
        <item x="15"/>
        <item x="55"/>
        <item x="48"/>
        <item x="12"/>
        <item x="30"/>
        <item x="65"/>
        <item x="70"/>
        <item x="10"/>
        <item x="47"/>
        <item x="67"/>
        <item x="18"/>
        <item x="14"/>
        <item x="4"/>
        <item x="54"/>
        <item x="71"/>
        <item x="76"/>
        <item x="59"/>
        <item x="1"/>
        <item x="35"/>
        <item x="5"/>
        <item x="8"/>
        <item x="44"/>
        <item x="39"/>
        <item x="62"/>
        <item x="69"/>
        <item x="73"/>
        <item x="38"/>
        <item x="26"/>
        <item x="41"/>
        <item x="45"/>
        <item x="29"/>
        <item x="46"/>
        <item x="28"/>
        <item x="66"/>
        <item x="33"/>
        <item x="20"/>
        <item x="37"/>
        <item x="25"/>
        <item x="72"/>
        <item x="51"/>
        <item x="7"/>
        <item x="17"/>
        <item x="22"/>
        <item x="19"/>
        <item x="40"/>
        <item x="16"/>
        <item x="42"/>
        <item x="61"/>
        <item x="31"/>
        <item x="27"/>
        <item x="60"/>
        <item t="default"/>
      </items>
    </pivotField>
    <pivotField showAll="0"/>
    <pivotField axis="axisRow" showAll="0">
      <items count="5">
        <item x="3"/>
        <item x="2"/>
        <item x="0"/>
        <item x="1"/>
        <item t="default"/>
      </items>
    </pivotField>
    <pivotField showAll="0">
      <items count="4">
        <item x="0"/>
        <item x="1"/>
        <item x="2"/>
        <item t="default"/>
      </items>
    </pivotField>
    <pivotField showAll="0">
      <items count="5">
        <item x="1"/>
        <item x="3"/>
        <item x="2"/>
        <item x="0"/>
        <item t="default"/>
      </items>
    </pivotField>
    <pivotField showAll="0"/>
    <pivotField showAll="0"/>
    <pivotField showAll="0"/>
    <pivotField showAll="0"/>
    <pivotField showAll="0"/>
    <pivotField showAll="0">
      <items count="3">
        <item x="0"/>
        <item x="1"/>
        <item t="default"/>
      </items>
    </pivotField>
    <pivotField showAll="0">
      <items count="7">
        <item x="0"/>
        <item x="1"/>
        <item x="2"/>
        <item x="3"/>
        <item x="4"/>
        <item x="5"/>
        <item t="default"/>
      </items>
    </pivotField>
  </pivotFields>
  <rowFields count="1">
    <field x="3"/>
  </rowFields>
  <rowItems count="5">
    <i>
      <x/>
    </i>
    <i>
      <x v="1"/>
    </i>
    <i>
      <x v="2"/>
    </i>
    <i>
      <x v="3"/>
    </i>
    <i t="grand">
      <x/>
    </i>
  </rowItems>
  <colItems count="1">
    <i/>
  </colItems>
  <dataFields count="1">
    <dataField name="Count of Order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00409C-650D-486F-9AE2-B8C644420105}" name="PivotTable1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location ref="U38:V45" firstHeaderRow="1" firstDataRow="1" firstDataCol="1"/>
  <pivotFields count="13">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78">
        <item x="64"/>
        <item x="6"/>
        <item x="52"/>
        <item x="9"/>
        <item x="36"/>
        <item x="53"/>
        <item x="57"/>
        <item x="23"/>
        <item x="13"/>
        <item x="34"/>
        <item x="24"/>
        <item x="68"/>
        <item x="21"/>
        <item x="0"/>
        <item x="11"/>
        <item x="63"/>
        <item x="43"/>
        <item x="74"/>
        <item x="2"/>
        <item x="50"/>
        <item x="58"/>
        <item x="56"/>
        <item x="3"/>
        <item x="49"/>
        <item x="32"/>
        <item x="75"/>
        <item x="15"/>
        <item x="55"/>
        <item x="48"/>
        <item x="12"/>
        <item x="30"/>
        <item x="65"/>
        <item x="70"/>
        <item x="10"/>
        <item x="47"/>
        <item x="67"/>
        <item x="18"/>
        <item x="14"/>
        <item x="4"/>
        <item x="54"/>
        <item x="71"/>
        <item x="76"/>
        <item x="59"/>
        <item x="1"/>
        <item x="35"/>
        <item x="5"/>
        <item x="8"/>
        <item x="44"/>
        <item x="39"/>
        <item x="62"/>
        <item x="69"/>
        <item x="73"/>
        <item x="38"/>
        <item x="26"/>
        <item x="41"/>
        <item x="45"/>
        <item x="29"/>
        <item x="46"/>
        <item x="28"/>
        <item x="66"/>
        <item x="33"/>
        <item x="20"/>
        <item x="37"/>
        <item x="25"/>
        <item x="72"/>
        <item x="51"/>
        <item x="7"/>
        <item x="17"/>
        <item x="22"/>
        <item x="19"/>
        <item x="40"/>
        <item x="16"/>
        <item x="42"/>
        <item x="61"/>
        <item x="31"/>
        <item x="27"/>
        <item x="60"/>
        <item t="default"/>
      </items>
    </pivotField>
    <pivotField showAll="0"/>
    <pivotField showAll="0">
      <items count="5">
        <item x="3"/>
        <item x="2"/>
        <item x="0"/>
        <item x="1"/>
        <item t="default"/>
      </items>
    </pivotField>
    <pivotField showAll="0">
      <items count="4">
        <item x="0"/>
        <item x="1"/>
        <item x="2"/>
        <item t="default"/>
      </items>
    </pivotField>
    <pivotField showAll="0">
      <items count="5">
        <item x="1"/>
        <item x="3"/>
        <item x="2"/>
        <item x="0"/>
        <item t="default"/>
      </items>
    </pivotField>
    <pivotField showAll="0"/>
    <pivotField showAll="0"/>
    <pivotField showAll="0"/>
    <pivotField dataField="1" showAll="0"/>
    <pivotField showAll="0"/>
    <pivotField showAll="0">
      <items count="3">
        <item x="0"/>
        <item x="1"/>
        <item t="default"/>
      </items>
    </pivotField>
    <pivotField name="MONTHWISE" axis="axisRow" showAll="0">
      <items count="7">
        <item n="Jan 2026" sd="0" x="0"/>
        <item n="Feb 2026" sd="0" x="1"/>
        <item n="Mar 2026" sd="0" x="2"/>
        <item n="Apr 2026" sd="0" x="3"/>
        <item n="May 2026" sd="0" x="4"/>
        <item n="Jun 2026" sd="0" x="5"/>
        <item t="default" sd="0"/>
      </items>
    </pivotField>
  </pivotFields>
  <rowFields count="2">
    <field x="12"/>
    <field x="1"/>
  </rowFields>
  <rowItems count="7">
    <i>
      <x/>
    </i>
    <i>
      <x v="1"/>
    </i>
    <i>
      <x v="2"/>
    </i>
    <i>
      <x v="3"/>
    </i>
    <i>
      <x v="4"/>
    </i>
    <i>
      <x v="5"/>
    </i>
    <i t="grand">
      <x/>
    </i>
  </rowItems>
  <colItems count="1">
    <i/>
  </colItems>
  <dataFields count="1">
    <dataField name="Sum of Revenue" fld="9" baseField="0" baseItem="0"/>
  </dataFields>
  <formats count="1">
    <format dxfId="14">
      <pivotArea dataOnly="0" labelOnly="1" fieldPosition="0">
        <references count="1">
          <reference field="1" count="1">
            <x v="0"/>
          </reference>
        </references>
      </pivotArea>
    </format>
  </formats>
  <chartFormats count="1">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C813D9-0314-4E04-B68B-DBED6DD914C2}"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U31:V35" firstHeaderRow="1" firstDataRow="1" firstDataCol="1"/>
  <pivotFields count="1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78">
        <item x="64"/>
        <item x="6"/>
        <item x="52"/>
        <item x="9"/>
        <item x="36"/>
        <item x="53"/>
        <item x="57"/>
        <item x="23"/>
        <item x="13"/>
        <item x="34"/>
        <item x="24"/>
        <item x="68"/>
        <item x="21"/>
        <item x="0"/>
        <item x="11"/>
        <item x="63"/>
        <item x="43"/>
        <item x="74"/>
        <item x="2"/>
        <item x="50"/>
        <item x="58"/>
        <item x="56"/>
        <item x="3"/>
        <item x="49"/>
        <item x="32"/>
        <item x="75"/>
        <item x="15"/>
        <item x="55"/>
        <item x="48"/>
        <item x="12"/>
        <item x="30"/>
        <item x="65"/>
        <item x="70"/>
        <item x="10"/>
        <item x="47"/>
        <item x="67"/>
        <item x="18"/>
        <item x="14"/>
        <item x="4"/>
        <item x="54"/>
        <item x="71"/>
        <item x="76"/>
        <item x="59"/>
        <item x="1"/>
        <item x="35"/>
        <item x="5"/>
        <item x="8"/>
        <item x="44"/>
        <item x="39"/>
        <item x="62"/>
        <item x="69"/>
        <item x="73"/>
        <item x="38"/>
        <item x="26"/>
        <item x="41"/>
        <item x="45"/>
        <item x="29"/>
        <item x="46"/>
        <item x="28"/>
        <item x="66"/>
        <item x="33"/>
        <item x="20"/>
        <item x="37"/>
        <item x="25"/>
        <item x="72"/>
        <item x="51"/>
        <item x="7"/>
        <item x="17"/>
        <item x="22"/>
        <item x="19"/>
        <item x="40"/>
        <item x="16"/>
        <item x="42"/>
        <item x="61"/>
        <item x="31"/>
        <item x="27"/>
        <item x="60"/>
        <item t="default"/>
      </items>
    </pivotField>
    <pivotField showAll="0"/>
    <pivotField showAll="0">
      <items count="5">
        <item x="3"/>
        <item x="2"/>
        <item x="0"/>
        <item x="1"/>
        <item t="default"/>
      </items>
    </pivotField>
    <pivotField axis="axisRow" showAll="0">
      <items count="4">
        <item x="0"/>
        <item x="1"/>
        <item x="2"/>
        <item t="default"/>
      </items>
    </pivotField>
    <pivotField showAll="0">
      <items count="5">
        <item x="1"/>
        <item x="3"/>
        <item x="2"/>
        <item x="0"/>
        <item t="default"/>
      </items>
    </pivotField>
    <pivotField showAll="0"/>
    <pivotField showAll="0"/>
    <pivotField showAll="0"/>
    <pivotField showAll="0"/>
    <pivotField showAll="0"/>
    <pivotField showAll="0">
      <items count="3">
        <item x="0"/>
        <item x="1"/>
        <item t="default"/>
      </items>
    </pivotField>
    <pivotField showAll="0">
      <items count="7">
        <item x="0"/>
        <item x="1"/>
        <item x="2"/>
        <item x="3"/>
        <item x="4"/>
        <item x="5"/>
        <item t="default"/>
      </items>
    </pivotField>
  </pivotFields>
  <rowFields count="1">
    <field x="4"/>
  </rowFields>
  <rowItems count="4">
    <i>
      <x/>
    </i>
    <i>
      <x v="1"/>
    </i>
    <i>
      <x v="2"/>
    </i>
    <i t="grand">
      <x/>
    </i>
  </rowItems>
  <colItems count="1">
    <i/>
  </colItems>
  <dataFields count="1">
    <dataField name="Count of Order_ID" fld="0" subtotal="count" baseField="11" baseItem="1"/>
  </dataFields>
  <chartFormats count="2">
    <chartFormat chart="11"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1CE88B-0C12-470C-8EB3-01366A2BF6FB}"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U25:V28" firstHeaderRow="1" firstDataRow="1" firstDataCol="1"/>
  <pivotFields count="1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78">
        <item x="64"/>
        <item x="6"/>
        <item x="52"/>
        <item x="9"/>
        <item x="36"/>
        <item x="53"/>
        <item x="57"/>
        <item x="23"/>
        <item x="13"/>
        <item x="34"/>
        <item x="24"/>
        <item x="68"/>
        <item x="21"/>
        <item x="0"/>
        <item x="11"/>
        <item x="63"/>
        <item x="43"/>
        <item x="74"/>
        <item x="2"/>
        <item x="50"/>
        <item x="58"/>
        <item x="56"/>
        <item x="3"/>
        <item x="49"/>
        <item x="32"/>
        <item x="75"/>
        <item x="15"/>
        <item x="55"/>
        <item x="48"/>
        <item x="12"/>
        <item x="30"/>
        <item x="65"/>
        <item x="70"/>
        <item x="10"/>
        <item x="47"/>
        <item x="67"/>
        <item x="18"/>
        <item x="14"/>
        <item x="4"/>
        <item x="54"/>
        <item x="71"/>
        <item x="76"/>
        <item x="59"/>
        <item x="1"/>
        <item x="35"/>
        <item x="5"/>
        <item x="8"/>
        <item x="44"/>
        <item x="39"/>
        <item x="62"/>
        <item x="69"/>
        <item x="73"/>
        <item x="38"/>
        <item x="26"/>
        <item x="41"/>
        <item x="45"/>
        <item x="29"/>
        <item x="46"/>
        <item x="28"/>
        <item x="66"/>
        <item x="33"/>
        <item x="20"/>
        <item x="37"/>
        <item x="25"/>
        <item x="72"/>
        <item x="51"/>
        <item x="7"/>
        <item x="17"/>
        <item x="22"/>
        <item x="19"/>
        <item x="40"/>
        <item x="16"/>
        <item x="42"/>
        <item x="61"/>
        <item x="31"/>
        <item x="27"/>
        <item x="60"/>
        <item t="default"/>
      </items>
    </pivotField>
    <pivotField showAll="0"/>
    <pivotField showAll="0">
      <items count="5">
        <item x="3"/>
        <item x="2"/>
        <item x="0"/>
        <item x="1"/>
        <item t="default"/>
      </items>
    </pivotField>
    <pivotField showAll="0">
      <items count="4">
        <item x="0"/>
        <item x="1"/>
        <item x="2"/>
        <item t="default"/>
      </items>
    </pivotField>
    <pivotField showAll="0">
      <items count="5">
        <item x="1"/>
        <item x="3"/>
        <item x="2"/>
        <item x="0"/>
        <item t="default"/>
      </items>
    </pivotField>
    <pivotField showAll="0"/>
    <pivotField showAll="0"/>
    <pivotField showAll="0"/>
    <pivotField showAll="0"/>
    <pivotField showAll="0"/>
    <pivotField axis="axisRow" showAll="0">
      <items count="3">
        <item x="0"/>
        <item x="1"/>
        <item t="default"/>
      </items>
    </pivotField>
    <pivotField showAll="0">
      <items count="7">
        <item x="0"/>
        <item x="1"/>
        <item x="2"/>
        <item x="3"/>
        <item x="4"/>
        <item x="5"/>
        <item t="default"/>
      </items>
    </pivotField>
  </pivotFields>
  <rowFields count="1">
    <field x="11"/>
  </rowFields>
  <rowItems count="3">
    <i>
      <x/>
    </i>
    <i>
      <x v="1"/>
    </i>
    <i t="grand">
      <x/>
    </i>
  </rowItems>
  <colItems count="1">
    <i/>
  </colItems>
  <dataFields count="1">
    <dataField name="Count of Order_ID" fld="0" subtotal="count" baseField="11" baseItem="1"/>
  </dataFields>
  <chartFormats count="3">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1" count="1" selected="0">
            <x v="0"/>
          </reference>
        </references>
      </pivotArea>
    </chartFormat>
    <chartFormat chart="11"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9995AF-FFB7-403D-B8EB-6DD37A4AED6C}"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chartFormat="26">
  <location ref="U17:V22" firstHeaderRow="1" firstDataRow="1" firstDataCol="1"/>
  <pivotFields count="13">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78">
        <item x="64"/>
        <item x="6"/>
        <item x="52"/>
        <item x="9"/>
        <item x="36"/>
        <item x="53"/>
        <item x="57"/>
        <item x="23"/>
        <item x="13"/>
        <item x="34"/>
        <item x="24"/>
        <item x="68"/>
        <item x="21"/>
        <item x="0"/>
        <item x="11"/>
        <item x="63"/>
        <item x="43"/>
        <item x="74"/>
        <item x="2"/>
        <item x="50"/>
        <item x="58"/>
        <item x="56"/>
        <item x="3"/>
        <item x="49"/>
        <item x="32"/>
        <item x="75"/>
        <item x="15"/>
        <item x="55"/>
        <item x="48"/>
        <item x="12"/>
        <item x="30"/>
        <item x="65"/>
        <item x="70"/>
        <item x="10"/>
        <item x="47"/>
        <item x="67"/>
        <item x="18"/>
        <item x="14"/>
        <item x="4"/>
        <item x="54"/>
        <item x="71"/>
        <item x="76"/>
        <item x="59"/>
        <item x="1"/>
        <item x="35"/>
        <item x="5"/>
        <item x="8"/>
        <item x="44"/>
        <item x="39"/>
        <item x="62"/>
        <item x="69"/>
        <item x="73"/>
        <item x="38"/>
        <item x="26"/>
        <item x="41"/>
        <item x="45"/>
        <item x="29"/>
        <item x="46"/>
        <item x="28"/>
        <item x="66"/>
        <item x="33"/>
        <item x="20"/>
        <item x="37"/>
        <item x="25"/>
        <item x="72"/>
        <item x="51"/>
        <item x="7"/>
        <item x="17"/>
        <item x="22"/>
        <item x="19"/>
        <item x="40"/>
        <item x="16"/>
        <item x="42"/>
        <item x="61"/>
        <item x="31"/>
        <item x="27"/>
        <item x="60"/>
        <item t="default"/>
      </items>
    </pivotField>
    <pivotField showAll="0"/>
    <pivotField showAll="0">
      <items count="5">
        <item x="3"/>
        <item x="2"/>
        <item x="0"/>
        <item x="1"/>
        <item t="default"/>
      </items>
    </pivotField>
    <pivotField showAll="0">
      <items count="4">
        <item x="0"/>
        <item x="1"/>
        <item x="2"/>
        <item t="default"/>
      </items>
    </pivotField>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3">
        <item x="0"/>
        <item x="1"/>
        <item t="default"/>
      </items>
    </pivotField>
    <pivotField showAll="0">
      <items count="7">
        <item x="0"/>
        <item x="1"/>
        <item x="2"/>
        <item x="3"/>
        <item x="4"/>
        <item x="5"/>
        <item t="default"/>
      </items>
    </pivotField>
  </pivotFields>
  <rowFields count="1">
    <field x="5"/>
  </rowFields>
  <rowItems count="5">
    <i>
      <x/>
    </i>
    <i>
      <x v="3"/>
    </i>
    <i>
      <x v="1"/>
    </i>
    <i>
      <x v="2"/>
    </i>
    <i t="grand">
      <x/>
    </i>
  </rowItems>
  <colItems count="1">
    <i/>
  </colItems>
  <dataFields count="1">
    <dataField name="Sum of Revenue" fld="9"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6239AB-6441-4558-BFAC-7DDE4D682B82}"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U48:V52" firstHeaderRow="1" firstDataRow="1" firstDataCol="1"/>
  <pivotFields count="13">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78">
        <item x="64"/>
        <item x="6"/>
        <item x="52"/>
        <item x="9"/>
        <item x="36"/>
        <item x="53"/>
        <item x="57"/>
        <item x="23"/>
        <item x="13"/>
        <item x="34"/>
        <item x="24"/>
        <item x="68"/>
        <item x="21"/>
        <item x="0"/>
        <item x="11"/>
        <item x="63"/>
        <item x="43"/>
        <item x="74"/>
        <item x="2"/>
        <item x="50"/>
        <item x="58"/>
        <item x="56"/>
        <item x="3"/>
        <item x="49"/>
        <item x="32"/>
        <item x="75"/>
        <item x="15"/>
        <item x="55"/>
        <item x="48"/>
        <item x="12"/>
        <item x="30"/>
        <item x="65"/>
        <item x="70"/>
        <item x="10"/>
        <item x="47"/>
        <item x="67"/>
        <item x="18"/>
        <item x="14"/>
        <item x="4"/>
        <item x="54"/>
        <item x="71"/>
        <item x="76"/>
        <item x="59"/>
        <item x="1"/>
        <item x="35"/>
        <item x="5"/>
        <item x="8"/>
        <item x="44"/>
        <item x="39"/>
        <item x="62"/>
        <item x="69"/>
        <item x="73"/>
        <item x="38"/>
        <item x="26"/>
        <item x="41"/>
        <item x="45"/>
        <item x="29"/>
        <item x="46"/>
        <item x="28"/>
        <item x="66"/>
        <item x="33"/>
        <item x="20"/>
        <item x="37"/>
        <item x="25"/>
        <item x="72"/>
        <item x="51"/>
        <item x="7"/>
        <item x="17"/>
        <item x="22"/>
        <item x="19"/>
        <item x="40"/>
        <item x="16"/>
        <item x="42"/>
        <item x="61"/>
        <item x="31"/>
        <item x="27"/>
        <item x="60"/>
        <item t="default"/>
      </items>
    </pivotField>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
        <item x="3"/>
        <item x="2"/>
        <item x="0"/>
        <item x="1"/>
        <item t="default"/>
      </items>
    </pivotField>
    <pivotField axis="axisRow" showAll="0">
      <items count="4">
        <item x="0"/>
        <item x="1"/>
        <item x="2"/>
        <item t="default"/>
      </items>
    </pivotField>
    <pivotField showAll="0">
      <items count="5">
        <item x="1"/>
        <item x="3"/>
        <item x="2"/>
        <item x="0"/>
        <item t="default"/>
      </items>
    </pivotField>
    <pivotField showAll="0">
      <items count="13">
        <item x="4"/>
        <item x="2"/>
        <item x="7"/>
        <item x="0"/>
        <item x="1"/>
        <item x="8"/>
        <item x="11"/>
        <item x="6"/>
        <item x="5"/>
        <item x="10"/>
        <item x="3"/>
        <item x="9"/>
        <item t="default"/>
      </items>
    </pivotField>
    <pivotField showAll="0"/>
    <pivotField showAll="0"/>
    <pivotField showAll="0"/>
    <pivotField dataField="1" showAll="0"/>
    <pivotField showAll="0">
      <items count="3">
        <item x="0"/>
        <item x="1"/>
        <item t="default"/>
      </items>
    </pivotField>
    <pivotField showAll="0">
      <items count="7">
        <item x="0"/>
        <item x="1"/>
        <item x="2"/>
        <item x="3"/>
        <item x="4"/>
        <item x="5"/>
        <item t="default"/>
      </items>
    </pivotField>
  </pivotFields>
  <rowFields count="1">
    <field x="4"/>
  </rowFields>
  <rowItems count="4">
    <i>
      <x/>
    </i>
    <i>
      <x v="1"/>
    </i>
    <i>
      <x v="2"/>
    </i>
    <i t="grand">
      <x/>
    </i>
  </rowItems>
  <colItems count="1">
    <i/>
  </colItems>
  <dataFields count="1">
    <dataField name="Average of Delivery_Days"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BBBFD6-2C14-423F-9FC9-AEA465E81613}"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2:U3" firstHeaderRow="1" firstDataRow="1" firstDataCol="0"/>
  <pivotFields count="1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78">
        <item x="64"/>
        <item x="6"/>
        <item x="52"/>
        <item x="9"/>
        <item x="36"/>
        <item x="53"/>
        <item x="57"/>
        <item x="23"/>
        <item x="13"/>
        <item x="34"/>
        <item x="24"/>
        <item x="68"/>
        <item x="21"/>
        <item x="0"/>
        <item x="11"/>
        <item x="63"/>
        <item x="43"/>
        <item x="74"/>
        <item x="2"/>
        <item x="50"/>
        <item x="58"/>
        <item x="56"/>
        <item x="3"/>
        <item x="49"/>
        <item x="32"/>
        <item x="75"/>
        <item x="15"/>
        <item x="55"/>
        <item x="48"/>
        <item x="12"/>
        <item x="30"/>
        <item x="65"/>
        <item x="70"/>
        <item x="10"/>
        <item x="47"/>
        <item x="67"/>
        <item x="18"/>
        <item x="14"/>
        <item x="4"/>
        <item x="54"/>
        <item x="71"/>
        <item x="76"/>
        <item x="59"/>
        <item x="1"/>
        <item x="35"/>
        <item x="5"/>
        <item x="8"/>
        <item x="44"/>
        <item x="39"/>
        <item x="62"/>
        <item x="69"/>
        <item x="73"/>
        <item x="38"/>
        <item x="26"/>
        <item x="41"/>
        <item x="45"/>
        <item x="29"/>
        <item x="46"/>
        <item x="28"/>
        <item x="66"/>
        <item x="33"/>
        <item x="20"/>
        <item x="37"/>
        <item x="25"/>
        <item x="72"/>
        <item x="51"/>
        <item x="7"/>
        <item x="17"/>
        <item x="22"/>
        <item x="19"/>
        <item x="40"/>
        <item x="16"/>
        <item x="42"/>
        <item x="61"/>
        <item x="31"/>
        <item x="27"/>
        <item x="60"/>
        <item t="default"/>
      </items>
    </pivotField>
    <pivotField showAll="0"/>
    <pivotField showAll="0">
      <items count="5">
        <item x="3"/>
        <item x="2"/>
        <item x="0"/>
        <item x="1"/>
        <item t="default"/>
      </items>
    </pivotField>
    <pivotField showAll="0"/>
    <pivotField showAll="0"/>
    <pivotField showAll="0"/>
    <pivotField showAll="0"/>
    <pivotField showAll="0"/>
    <pivotField showAll="0"/>
    <pivotField showAll="0"/>
    <pivotField showAll="0">
      <items count="3">
        <item x="0"/>
        <item x="1"/>
        <item t="default"/>
      </items>
    </pivotField>
    <pivotField showAll="0">
      <items count="7">
        <item x="0"/>
        <item x="1"/>
        <item x="2"/>
        <item x="3"/>
        <item x="4"/>
        <item x="5"/>
        <item t="default"/>
      </items>
    </pivotField>
  </pivotFields>
  <rowItems count="1">
    <i/>
  </rowItems>
  <colItems count="1">
    <i/>
  </colItems>
  <dataFields count="1">
    <dataField name="Count of Order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73E771-6C6E-4899-9028-9DD8E586D810}"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5:F16" firstHeaderRow="1" firstDataRow="1" firstDataCol="0"/>
  <pivotFields count="13">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78">
        <item x="64"/>
        <item x="6"/>
        <item x="52"/>
        <item x="9"/>
        <item x="36"/>
        <item x="53"/>
        <item x="57"/>
        <item x="23"/>
        <item x="13"/>
        <item x="34"/>
        <item x="24"/>
        <item x="68"/>
        <item x="21"/>
        <item x="0"/>
        <item x="11"/>
        <item x="63"/>
        <item x="43"/>
        <item x="74"/>
        <item x="2"/>
        <item x="50"/>
        <item x="58"/>
        <item x="56"/>
        <item x="3"/>
        <item x="49"/>
        <item x="32"/>
        <item x="75"/>
        <item x="15"/>
        <item x="55"/>
        <item x="48"/>
        <item x="12"/>
        <item x="30"/>
        <item x="65"/>
        <item x="70"/>
        <item x="10"/>
        <item x="47"/>
        <item x="67"/>
        <item x="18"/>
        <item x="14"/>
        <item x="4"/>
        <item x="54"/>
        <item x="71"/>
        <item x="76"/>
        <item x="59"/>
        <item x="1"/>
        <item x="35"/>
        <item x="5"/>
        <item x="8"/>
        <item x="44"/>
        <item x="39"/>
        <item x="62"/>
        <item x="69"/>
        <item x="73"/>
        <item x="38"/>
        <item x="26"/>
        <item x="41"/>
        <item x="45"/>
        <item x="29"/>
        <item x="46"/>
        <item x="28"/>
        <item x="66"/>
        <item x="33"/>
        <item x="20"/>
        <item x="37"/>
        <item x="25"/>
        <item x="72"/>
        <item x="51"/>
        <item x="7"/>
        <item x="17"/>
        <item x="22"/>
        <item x="19"/>
        <item x="40"/>
        <item x="16"/>
        <item x="42"/>
        <item x="61"/>
        <item x="31"/>
        <item x="27"/>
        <item x="60"/>
        <item t="default"/>
      </items>
    </pivotField>
    <pivotField showAll="0"/>
    <pivotField showAll="0"/>
    <pivotField showAll="0"/>
    <pivotField showAll="0"/>
    <pivotField showAll="0"/>
    <pivotField showAll="0"/>
    <pivotField showAll="0"/>
    <pivotField showAll="0"/>
    <pivotField dataField="1" showAll="0"/>
    <pivotField showAll="0"/>
    <pivotField showAll="0">
      <items count="7">
        <item x="0"/>
        <item x="1"/>
        <item x="2"/>
        <item x="3"/>
        <item x="4"/>
        <item x="5"/>
        <item t="default"/>
      </items>
    </pivotField>
  </pivotFields>
  <rowItems count="1">
    <i/>
  </rowItems>
  <colItems count="1">
    <i/>
  </colItems>
  <dataFields count="1">
    <dataField name="Average of Delivery_Days" fld="10"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A1D59A-0C28-4EC9-9DB3-BE711FF74123}"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0" firstHeaderRow="1" firstDataRow="1" firstDataCol="1"/>
  <pivotFields count="1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78">
        <item x="64"/>
        <item x="6"/>
        <item x="52"/>
        <item x="9"/>
        <item x="36"/>
        <item x="53"/>
        <item x="57"/>
        <item x="23"/>
        <item x="13"/>
        <item x="34"/>
        <item x="24"/>
        <item x="68"/>
        <item x="21"/>
        <item x="0"/>
        <item x="11"/>
        <item x="63"/>
        <item x="43"/>
        <item x="74"/>
        <item x="2"/>
        <item x="50"/>
        <item x="58"/>
        <item x="56"/>
        <item x="3"/>
        <item x="49"/>
        <item x="32"/>
        <item x="75"/>
        <item x="15"/>
        <item x="55"/>
        <item x="48"/>
        <item x="12"/>
        <item x="30"/>
        <item x="65"/>
        <item x="70"/>
        <item x="10"/>
        <item x="47"/>
        <item x="67"/>
        <item x="18"/>
        <item x="14"/>
        <item x="4"/>
        <item x="54"/>
        <item x="71"/>
        <item x="76"/>
        <item x="59"/>
        <item x="1"/>
        <item x="35"/>
        <item x="5"/>
        <item x="8"/>
        <item x="44"/>
        <item x="39"/>
        <item x="62"/>
        <item x="69"/>
        <item x="73"/>
        <item x="38"/>
        <item x="26"/>
        <item x="41"/>
        <item x="45"/>
        <item x="29"/>
        <item x="46"/>
        <item x="28"/>
        <item x="66"/>
        <item x="33"/>
        <item x="20"/>
        <item x="37"/>
        <item x="25"/>
        <item x="72"/>
        <item x="51"/>
        <item x="7"/>
        <item x="17"/>
        <item x="22"/>
        <item x="19"/>
        <item x="40"/>
        <item x="16"/>
        <item x="42"/>
        <item x="61"/>
        <item x="31"/>
        <item x="27"/>
        <item x="60"/>
        <item t="default"/>
      </items>
    </pivotField>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7">
        <item x="0"/>
        <item x="1"/>
        <item x="2"/>
        <item x="3"/>
        <item x="4"/>
        <item x="5"/>
        <item t="default"/>
      </items>
    </pivotField>
  </pivotFields>
  <rowFields count="1">
    <field x="11"/>
  </rowFields>
  <rowItems count="3">
    <i>
      <x/>
    </i>
    <i>
      <x v="1"/>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74ACE4-31CD-4094-A05A-D70C7428E3D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3" firstHeaderRow="0" firstDataRow="1" firstDataCol="0"/>
  <pivotFields count="1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78">
        <item x="64"/>
        <item x="6"/>
        <item x="52"/>
        <item x="9"/>
        <item x="36"/>
        <item x="53"/>
        <item x="57"/>
        <item x="23"/>
        <item x="13"/>
        <item x="34"/>
        <item x="24"/>
        <item x="68"/>
        <item x="21"/>
        <item x="0"/>
        <item x="11"/>
        <item x="63"/>
        <item x="43"/>
        <item x="74"/>
        <item x="2"/>
        <item x="50"/>
        <item x="58"/>
        <item x="56"/>
        <item x="3"/>
        <item x="49"/>
        <item x="32"/>
        <item x="75"/>
        <item x="15"/>
        <item x="55"/>
        <item x="48"/>
        <item x="12"/>
        <item x="30"/>
        <item x="65"/>
        <item x="70"/>
        <item x="10"/>
        <item x="47"/>
        <item x="67"/>
        <item x="18"/>
        <item x="14"/>
        <item x="4"/>
        <item x="54"/>
        <item x="71"/>
        <item x="76"/>
        <item x="59"/>
        <item x="1"/>
        <item x="35"/>
        <item x="5"/>
        <item x="8"/>
        <item x="44"/>
        <item x="39"/>
        <item x="62"/>
        <item x="69"/>
        <item x="73"/>
        <item x="38"/>
        <item x="26"/>
        <item x="41"/>
        <item x="45"/>
        <item x="29"/>
        <item x="46"/>
        <item x="28"/>
        <item x="66"/>
        <item x="33"/>
        <item x="20"/>
        <item x="37"/>
        <item x="25"/>
        <item x="72"/>
        <item x="51"/>
        <item x="7"/>
        <item x="17"/>
        <item x="22"/>
        <item x="19"/>
        <item x="40"/>
        <item x="16"/>
        <item x="42"/>
        <item x="61"/>
        <item x="31"/>
        <item x="27"/>
        <item x="60"/>
        <item t="default"/>
      </items>
    </pivotField>
    <pivotField showAll="0"/>
    <pivotField showAll="0"/>
    <pivotField showAll="0"/>
    <pivotField showAll="0"/>
    <pivotField showAll="0"/>
    <pivotField showAll="0"/>
    <pivotField showAll="0"/>
    <pivotField dataField="1" showAll="0"/>
    <pivotField showAll="0"/>
    <pivotField showAll="0"/>
    <pivotField showAll="0">
      <items count="7">
        <item x="0"/>
        <item x="1"/>
        <item x="2"/>
        <item x="3"/>
        <item x="4"/>
        <item x="5"/>
        <item t="default"/>
      </items>
    </pivotField>
  </pivotFields>
  <rowItems count="1">
    <i/>
  </rowItems>
  <colFields count="1">
    <field x="-2"/>
  </colFields>
  <colItems count="2">
    <i>
      <x/>
    </i>
    <i i="1">
      <x v="1"/>
    </i>
  </colItems>
  <dataFields count="2">
    <dataField name="Count of Order_ID" fld="0" subtotal="count" baseField="0" baseItem="0"/>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164FD03-AB7E-45AE-BED5-6AC6F6D9D7D5}"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5:L18" firstHeaderRow="1" firstDataRow="1" firstDataCol="1"/>
  <pivotFields count="1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78">
        <item x="64"/>
        <item x="6"/>
        <item x="52"/>
        <item x="9"/>
        <item x="36"/>
        <item x="53"/>
        <item x="57"/>
        <item x="23"/>
        <item x="13"/>
        <item x="34"/>
        <item x="24"/>
        <item x="68"/>
        <item x="21"/>
        <item x="0"/>
        <item x="11"/>
        <item x="63"/>
        <item x="43"/>
        <item x="74"/>
        <item x="2"/>
        <item x="50"/>
        <item x="58"/>
        <item x="56"/>
        <item x="3"/>
        <item x="49"/>
        <item x="32"/>
        <item x="75"/>
        <item x="15"/>
        <item x="55"/>
        <item x="48"/>
        <item x="12"/>
        <item x="30"/>
        <item x="65"/>
        <item x="70"/>
        <item x="10"/>
        <item x="47"/>
        <item x="67"/>
        <item x="18"/>
        <item x="14"/>
        <item x="4"/>
        <item x="54"/>
        <item x="71"/>
        <item x="76"/>
        <item x="59"/>
        <item x="1"/>
        <item x="35"/>
        <item x="5"/>
        <item x="8"/>
        <item x="44"/>
        <item x="39"/>
        <item x="62"/>
        <item x="69"/>
        <item x="73"/>
        <item x="38"/>
        <item x="26"/>
        <item x="41"/>
        <item x="45"/>
        <item x="29"/>
        <item x="46"/>
        <item x="28"/>
        <item x="66"/>
        <item x="33"/>
        <item x="20"/>
        <item x="37"/>
        <item x="25"/>
        <item x="72"/>
        <item x="51"/>
        <item x="7"/>
        <item x="17"/>
        <item x="22"/>
        <item x="19"/>
        <item x="40"/>
        <item x="16"/>
        <item x="42"/>
        <item x="61"/>
        <item x="31"/>
        <item x="27"/>
        <item x="60"/>
        <item t="default"/>
      </items>
    </pivotField>
    <pivotField showAll="0"/>
    <pivotField showAll="0">
      <items count="5">
        <item x="3"/>
        <item x="2"/>
        <item x="0"/>
        <item x="1"/>
        <item t="default"/>
      </items>
    </pivotField>
    <pivotField showAll="0">
      <items count="4">
        <item x="0"/>
        <item x="1"/>
        <item x="2"/>
        <item t="default"/>
      </items>
    </pivotField>
    <pivotField showAll="0">
      <items count="5">
        <item x="1"/>
        <item x="3"/>
        <item x="2"/>
        <item x="0"/>
        <item t="default"/>
      </items>
    </pivotField>
    <pivotField showAll="0"/>
    <pivotField showAll="0"/>
    <pivotField showAll="0"/>
    <pivotField showAll="0"/>
    <pivotField showAll="0"/>
    <pivotField axis="axisRow" showAll="0">
      <items count="3">
        <item x="0"/>
        <item x="1"/>
        <item t="default"/>
      </items>
    </pivotField>
    <pivotField showAll="0">
      <items count="7">
        <item x="0"/>
        <item x="1"/>
        <item x="2"/>
        <item x="3"/>
        <item x="4"/>
        <item x="5"/>
        <item t="default"/>
      </items>
    </pivotField>
  </pivotFields>
  <rowFields count="1">
    <field x="11"/>
  </rowFields>
  <rowItems count="3">
    <i>
      <x/>
    </i>
    <i>
      <x v="1"/>
    </i>
    <i t="grand">
      <x/>
    </i>
  </rowItems>
  <colItems count="1">
    <i/>
  </colItems>
  <dataFields count="1">
    <dataField name="Count of Order_ID"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9ED0D62-B14B-44EA-BEB3-F7AA227FF98B}"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9:I22" firstHeaderRow="1" firstDataRow="1" firstDataCol="1"/>
  <pivotFields count="1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78">
        <item x="64"/>
        <item x="6"/>
        <item x="52"/>
        <item x="9"/>
        <item x="36"/>
        <item x="53"/>
        <item x="57"/>
        <item x="23"/>
        <item x="13"/>
        <item x="34"/>
        <item x="24"/>
        <item x="68"/>
        <item x="21"/>
        <item x="0"/>
        <item x="11"/>
        <item x="63"/>
        <item x="43"/>
        <item x="74"/>
        <item x="2"/>
        <item x="50"/>
        <item x="58"/>
        <item x="56"/>
        <item x="3"/>
        <item x="49"/>
        <item x="32"/>
        <item x="75"/>
        <item x="15"/>
        <item x="55"/>
        <item x="48"/>
        <item x="12"/>
        <item x="30"/>
        <item x="65"/>
        <item x="70"/>
        <item x="10"/>
        <item x="47"/>
        <item x="67"/>
        <item x="18"/>
        <item x="14"/>
        <item x="4"/>
        <item x="54"/>
        <item x="71"/>
        <item x="76"/>
        <item x="59"/>
        <item x="1"/>
        <item x="35"/>
        <item x="5"/>
        <item x="8"/>
        <item x="44"/>
        <item x="39"/>
        <item x="62"/>
        <item x="69"/>
        <item x="73"/>
        <item x="38"/>
        <item x="26"/>
        <item x="41"/>
        <item x="45"/>
        <item x="29"/>
        <item x="46"/>
        <item x="28"/>
        <item x="66"/>
        <item x="33"/>
        <item x="20"/>
        <item x="37"/>
        <item x="25"/>
        <item x="72"/>
        <item x="51"/>
        <item x="7"/>
        <item x="17"/>
        <item x="22"/>
        <item x="19"/>
        <item x="40"/>
        <item x="16"/>
        <item x="42"/>
        <item x="61"/>
        <item x="31"/>
        <item x="27"/>
        <item x="60"/>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3">
        <item x="0"/>
        <item x="1"/>
        <item t="default"/>
      </items>
    </pivotField>
    <pivotField showAll="0">
      <items count="7">
        <item x="0"/>
        <item x="1"/>
        <item x="2"/>
        <item x="3"/>
        <item x="4"/>
        <item x="5"/>
        <item t="default"/>
      </items>
    </pivotField>
  </pivotFields>
  <rowFields count="1">
    <field x="11"/>
  </rowFields>
  <rowItems count="3">
    <i>
      <x/>
    </i>
    <i>
      <x v="1"/>
    </i>
    <i t="grand">
      <x/>
    </i>
  </rowItems>
  <colItems count="1">
    <i/>
  </colItems>
  <dataFields count="1">
    <dataField name="Count of Order_ID"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C94F422-9805-4057-BB7D-3BA93C9ED5C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78">
        <item x="64"/>
        <item x="6"/>
        <item x="52"/>
        <item x="9"/>
        <item x="36"/>
        <item x="53"/>
        <item x="57"/>
        <item x="23"/>
        <item x="13"/>
        <item x="34"/>
        <item x="24"/>
        <item x="68"/>
        <item x="21"/>
        <item x="0"/>
        <item x="11"/>
        <item x="63"/>
        <item x="43"/>
        <item x="74"/>
        <item x="2"/>
        <item x="50"/>
        <item x="58"/>
        <item x="56"/>
        <item x="3"/>
        <item x="49"/>
        <item x="32"/>
        <item x="75"/>
        <item x="15"/>
        <item x="55"/>
        <item x="48"/>
        <item x="12"/>
        <item x="30"/>
        <item x="65"/>
        <item x="70"/>
        <item x="10"/>
        <item x="47"/>
        <item x="67"/>
        <item x="18"/>
        <item x="14"/>
        <item x="4"/>
        <item x="54"/>
        <item x="71"/>
        <item x="76"/>
        <item x="59"/>
        <item x="1"/>
        <item x="35"/>
        <item x="5"/>
        <item x="8"/>
        <item x="44"/>
        <item x="39"/>
        <item x="62"/>
        <item x="69"/>
        <item x="73"/>
        <item x="38"/>
        <item x="26"/>
        <item x="41"/>
        <item x="45"/>
        <item x="29"/>
        <item x="46"/>
        <item x="28"/>
        <item x="66"/>
        <item x="33"/>
        <item x="20"/>
        <item x="37"/>
        <item x="25"/>
        <item x="72"/>
        <item x="51"/>
        <item x="7"/>
        <item x="17"/>
        <item x="22"/>
        <item x="19"/>
        <item x="40"/>
        <item x="16"/>
        <item x="42"/>
        <item x="61"/>
        <item x="31"/>
        <item x="27"/>
        <item x="60"/>
        <item t="default"/>
      </items>
    </pivotField>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877F10C-4B30-4D3F-AEA5-8B205FD500C0}"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F9" firstHeaderRow="1" firstDataRow="1" firstDataCol="0" rowPageCount="1" colPageCount="1"/>
  <pivotFields count="1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78">
        <item x="64"/>
        <item x="6"/>
        <item x="52"/>
        <item x="9"/>
        <item x="36"/>
        <item x="53"/>
        <item x="57"/>
        <item x="23"/>
        <item x="13"/>
        <item x="34"/>
        <item x="24"/>
        <item x="68"/>
        <item x="21"/>
        <item x="0"/>
        <item x="11"/>
        <item x="63"/>
        <item x="43"/>
        <item x="74"/>
        <item x="2"/>
        <item x="50"/>
        <item x="58"/>
        <item x="56"/>
        <item x="3"/>
        <item x="49"/>
        <item x="32"/>
        <item x="75"/>
        <item x="15"/>
        <item x="55"/>
        <item x="48"/>
        <item x="12"/>
        <item x="30"/>
        <item x="65"/>
        <item x="70"/>
        <item x="10"/>
        <item x="47"/>
        <item x="67"/>
        <item x="18"/>
        <item x="14"/>
        <item x="4"/>
        <item x="54"/>
        <item x="71"/>
        <item x="76"/>
        <item x="59"/>
        <item x="1"/>
        <item x="35"/>
        <item x="5"/>
        <item x="8"/>
        <item x="44"/>
        <item x="39"/>
        <item x="62"/>
        <item x="69"/>
        <item x="73"/>
        <item x="38"/>
        <item x="26"/>
        <item x="41"/>
        <item x="45"/>
        <item x="29"/>
        <item x="46"/>
        <item x="28"/>
        <item x="66"/>
        <item x="33"/>
        <item x="20"/>
        <item x="37"/>
        <item x="25"/>
        <item x="72"/>
        <item x="51"/>
        <item x="7"/>
        <item x="17"/>
        <item x="22"/>
        <item x="19"/>
        <item x="40"/>
        <item x="16"/>
        <item x="42"/>
        <item x="61"/>
        <item x="31"/>
        <item x="27"/>
        <item x="60"/>
        <item t="default"/>
      </items>
    </pivotField>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items count="7">
        <item x="0"/>
        <item x="1"/>
        <item x="2"/>
        <item x="3"/>
        <item x="4"/>
        <item x="5"/>
        <item t="default"/>
      </items>
    </pivotField>
  </pivotFields>
  <rowItems count="1">
    <i/>
  </rowItems>
  <colItems count="1">
    <i/>
  </colItems>
  <pageFields count="1">
    <pageField fld="11" hier="-1"/>
  </pageFields>
  <dataFields count="1">
    <dataField name="Count of Order_ID" fld="0" subtotal="count" baseField="11"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0AF91ABA-0472-4FD0-B344-0C41BF1BFAE0}" sourceName="Warehouse">
  <pivotTables>
    <pivotTable tabId="2" name="PivotTable13"/>
    <pivotTable tabId="2" name="PivotTable14"/>
    <pivotTable tabId="3" name="PivotTable15"/>
    <pivotTable tabId="3" name="PivotTable18"/>
    <pivotTable tabId="3" name="PivotTable16"/>
    <pivotTable tabId="3" name="PivotTable17"/>
    <pivotTable tabId="3" name="PivotTable19"/>
    <pivotTable tabId="3" name="PivotTable1"/>
  </pivotTables>
  <data>
    <tabular pivotCacheId="187934398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D7A31B-6819-4CBE-8235-934F53F95E9E}" sourceName="Region">
  <pivotTables>
    <pivotTable tabId="2" name="PivotTable14"/>
    <pivotTable tabId="3" name="PivotTable15"/>
    <pivotTable tabId="3" name="PivotTable16"/>
    <pivotTable tabId="3" name="PivotTable17"/>
    <pivotTable tabId="3" name="PivotTable18"/>
    <pivotTable tabId="3" name="PivotTable19"/>
    <pivotTable tabId="3" name="PivotTable1"/>
  </pivotTables>
  <data>
    <tabular pivotCacheId="1879343987">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C42D136-2571-412F-B576-E46CD6149786}" sourceName="Category">
  <pivotTables>
    <pivotTable tabId="2" name="PivotTable14"/>
    <pivotTable tabId="3" name="PivotTable15"/>
    <pivotTable tabId="3" name="PivotTable16"/>
    <pivotTable tabId="3" name="PivotTable17"/>
    <pivotTable tabId="3" name="PivotTable18"/>
    <pivotTable tabId="3" name="PivotTable19"/>
    <pivotTable tabId="3" name="PivotTable1"/>
  </pivotTables>
  <data>
    <tabular pivotCacheId="1879343987">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BCAD44DD-6D6C-415C-8675-4C297CD5ECFF}" sourceName="Delivery_Status">
  <pivotTables>
    <pivotTable tabId="2" name="PivotTable14"/>
    <pivotTable tabId="3" name="PivotTable19"/>
    <pivotTable tabId="3" name="PivotTable18"/>
    <pivotTable tabId="3" name="PivotTable17"/>
    <pivotTable tabId="3" name="PivotTable16"/>
    <pivotTable tabId="3" name="PivotTable15"/>
    <pivotTable tabId="3" name="PivotTable1"/>
  </pivotTables>
  <data>
    <tabular pivotCacheId="187934398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2" xr10:uid="{B20CAF04-8B48-4755-B028-6F7A7AAC40A0}" sourceName="Order_Date2">
  <pivotTables>
    <pivotTable tabId="3" name="PivotTable19"/>
    <pivotTable tabId="3" name="PivotTable15"/>
    <pivotTable tabId="3" name="PivotTable16"/>
    <pivotTable tabId="3" name="PivotTable17"/>
    <pivotTable tabId="3" name="PivotTable18"/>
    <pivotTable tabId="3" name="PivotTable1"/>
  </pivotTables>
  <data>
    <tabular pivotCacheId="1879343987">
      <items count="6">
        <i x="3" s="1"/>
        <i x="1" s="1"/>
        <i x="0" s="1"/>
        <i x="5"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2" xr10:uid="{BED3BB45-2B96-4787-945D-233F39858CF0}" cache="Slicer_Warehouse" caption="Warehouse" rowHeight="241300"/>
  <slicer name="Region 1" xr10:uid="{595477AC-E1E2-4BF8-8976-E16298083336}" cache="Slicer_Region" caption="Region" rowHeight="241300"/>
  <slicer name="Category 1" xr10:uid="{C25E93E5-2BC6-47DC-9AA4-B489A81E5AF0}" cache="Slicer_Category" caption="Category" rowHeight="241300"/>
  <slicer name="Delivery_Status 1" xr10:uid="{5F279728-DA4E-4826-8208-81F906677C8F}" cache="Slicer_Delivery_Status" caption="Delivery_Status" rowHeight="241300"/>
  <slicer name="MONTHWISE" xr10:uid="{35D375A5-EED8-4548-A871-2FC68B88FAEC}" cache="Slicer_Order_Date2" caption="MONTHWISE" style="SlicerStyleOther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xr10:uid="{FBA02493-9717-43B1-A02D-29199CFA381B}" cache="Slicer_Warehouse" caption="Warehouse" rowHeight="241300"/>
  <slicer name="Region" xr10:uid="{2420EEFA-A85D-44E4-A122-BD629FE01F2D}" cache="Slicer_Region" caption="Region" rowHeight="241300"/>
  <slicer name="Category" xr10:uid="{923A385D-91D4-4C6E-A203-138034EA8FC4}" cache="Slicer_Category" caption="Category" rowHeight="241300"/>
  <slicer name="Delivery_Status" xr10:uid="{CAC47B8E-B526-4B5A-BED4-742A099B4B84}" cache="Slicer_Delivery_Status" caption="Delivery_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AF483-B89A-4044-9440-06B647C3CAC1}">
  <dimension ref="C1:V63"/>
  <sheetViews>
    <sheetView showGridLines="0" tabSelected="1" topLeftCell="A3" zoomScale="55" zoomScaleNormal="53" workbookViewId="0">
      <selection activeCell="L44" sqref="L44"/>
    </sheetView>
  </sheetViews>
  <sheetFormatPr defaultRowHeight="14.4" x14ac:dyDescent="0.3"/>
  <cols>
    <col min="2" max="2" width="16.88671875" customWidth="1"/>
    <col min="3" max="5" width="19.109375" customWidth="1"/>
    <col min="6" max="6" width="22.33203125" customWidth="1"/>
    <col min="7" max="7" width="19.109375" customWidth="1"/>
    <col min="8" max="8" width="25.6640625" customWidth="1"/>
    <col min="9" max="9" width="19.109375" customWidth="1"/>
    <col min="10" max="10" width="22" customWidth="1"/>
    <col min="11" max="11" width="19.109375" customWidth="1"/>
    <col min="12" max="12" width="23.5546875" customWidth="1"/>
    <col min="13" max="13" width="19.109375" customWidth="1"/>
    <col min="14" max="14" width="30.44140625" customWidth="1"/>
    <col min="21" max="21" width="18.44140625" bestFit="1" customWidth="1"/>
    <col min="22" max="22" width="20.109375" bestFit="1" customWidth="1"/>
    <col min="23" max="23" width="16.33203125" bestFit="1" customWidth="1"/>
    <col min="24" max="98" width="11" bestFit="1" customWidth="1"/>
    <col min="99" max="99" width="11.88671875" bestFit="1" customWidth="1"/>
  </cols>
  <sheetData>
    <row r="1" spans="3:22" ht="31.5" customHeight="1" x14ac:dyDescent="0.3">
      <c r="C1" s="12">
        <f>GETPIVOTDATA("Order_ID",$U$2)</f>
        <v>100</v>
      </c>
      <c r="D1" s="12"/>
      <c r="E1" s="13">
        <f>GETPIVOTDATA("Revenue",$U$17)</f>
        <v>4427600</v>
      </c>
      <c r="F1" s="13"/>
      <c r="G1" s="14">
        <f>GETPIVOTDATA("Order_ID",$U$25,"Delivery_Status","On-Time")</f>
        <v>52</v>
      </c>
      <c r="H1" s="14"/>
      <c r="I1" s="15">
        <f>GETPIVOTDATA("Order_ID",$U$25,"Delivery_Status","Delayed")</f>
        <v>48</v>
      </c>
      <c r="J1" s="15"/>
      <c r="K1" s="16">
        <f>GETPIVOTDATA("Delivery_Days",$U$48)</f>
        <v>4.37</v>
      </c>
      <c r="L1" s="16"/>
      <c r="M1" s="17">
        <f>GETPIVOTDATA("Order_ID",$U$25,"Delivery_Status","On-Time")/GETPIVOTDATA("Order_ID",$U$25)</f>
        <v>0.52</v>
      </c>
      <c r="N1" s="17"/>
      <c r="O1" s="8">
        <f>MAX(Supply_Chain_Data!J2:J101)</f>
        <v>550000</v>
      </c>
      <c r="P1" s="8"/>
      <c r="Q1" s="8"/>
      <c r="R1" s="8"/>
    </row>
    <row r="2" spans="3:22" ht="31.5" customHeight="1" x14ac:dyDescent="0.3">
      <c r="C2" s="12"/>
      <c r="D2" s="12"/>
      <c r="E2" s="13"/>
      <c r="F2" s="13"/>
      <c r="G2" s="14"/>
      <c r="H2" s="14"/>
      <c r="I2" s="15"/>
      <c r="J2" s="15"/>
      <c r="K2" s="16"/>
      <c r="L2" s="16"/>
      <c r="M2" s="17"/>
      <c r="N2" s="17"/>
      <c r="O2" s="8"/>
      <c r="P2" s="8"/>
      <c r="Q2" s="8"/>
      <c r="R2" s="8"/>
      <c r="U2" t="s">
        <v>216</v>
      </c>
    </row>
    <row r="3" spans="3:22" ht="31.5" customHeight="1" x14ac:dyDescent="0.3">
      <c r="C3" s="12"/>
      <c r="D3" s="12"/>
      <c r="E3" s="13"/>
      <c r="F3" s="13"/>
      <c r="G3" s="14"/>
      <c r="H3" s="14"/>
      <c r="I3" s="15"/>
      <c r="J3" s="15"/>
      <c r="K3" s="16"/>
      <c r="L3" s="16"/>
      <c r="M3" s="17"/>
      <c r="N3" s="17"/>
      <c r="O3" s="8"/>
      <c r="P3" s="8"/>
      <c r="Q3" s="8"/>
      <c r="R3" s="8"/>
      <c r="U3">
        <v>100</v>
      </c>
    </row>
    <row r="4" spans="3:22" ht="31.5" customHeight="1" x14ac:dyDescent="0.3">
      <c r="C4" s="12"/>
      <c r="D4" s="12"/>
      <c r="E4" s="13"/>
      <c r="F4" s="13"/>
      <c r="G4" s="14"/>
      <c r="H4" s="14"/>
      <c r="I4" s="15"/>
      <c r="J4" s="15"/>
      <c r="K4" s="16"/>
      <c r="L4" s="16"/>
      <c r="M4" s="17"/>
      <c r="N4" s="17"/>
      <c r="O4" s="8"/>
      <c r="P4" s="8"/>
      <c r="Q4" s="8"/>
      <c r="R4" s="8"/>
    </row>
    <row r="5" spans="3:22" ht="14.4" customHeight="1" x14ac:dyDescent="0.3">
      <c r="C5" s="18"/>
      <c r="D5" s="18"/>
      <c r="E5" s="18"/>
      <c r="F5" s="18"/>
      <c r="G5" s="18"/>
      <c r="H5" s="18"/>
      <c r="I5" s="18"/>
      <c r="J5" s="18"/>
      <c r="K5" s="18"/>
      <c r="L5" s="18"/>
      <c r="M5" s="18"/>
      <c r="N5" s="18"/>
      <c r="O5" s="9" t="str">
        <f>UPPER(U18)</f>
        <v>ELECTRONICS</v>
      </c>
      <c r="P5" s="9"/>
      <c r="Q5" s="9"/>
      <c r="R5" s="9"/>
    </row>
    <row r="6" spans="3:22" ht="14.4" customHeight="1" x14ac:dyDescent="0.3">
      <c r="C6" s="18"/>
      <c r="D6" s="18"/>
      <c r="E6" s="18"/>
      <c r="F6" s="18"/>
      <c r="G6" s="18"/>
      <c r="H6" s="18"/>
      <c r="I6" s="18"/>
      <c r="J6" s="18"/>
      <c r="K6" s="18"/>
      <c r="L6" s="18"/>
      <c r="M6" s="18"/>
      <c r="N6" s="18"/>
      <c r="O6" s="9"/>
      <c r="P6" s="9"/>
      <c r="Q6" s="9"/>
      <c r="R6" s="9"/>
    </row>
    <row r="7" spans="3:22" ht="14.4" customHeight="1" x14ac:dyDescent="0.3">
      <c r="C7" s="19"/>
      <c r="D7" s="19"/>
      <c r="E7" s="19"/>
      <c r="F7" s="19"/>
      <c r="G7" s="19"/>
      <c r="H7" s="19"/>
      <c r="I7" s="19"/>
      <c r="J7" s="19"/>
      <c r="K7" s="19"/>
      <c r="L7" s="19"/>
      <c r="M7" s="19"/>
      <c r="N7" s="19"/>
      <c r="O7" s="9"/>
      <c r="P7" s="9"/>
      <c r="Q7" s="9"/>
      <c r="R7" s="9"/>
    </row>
    <row r="8" spans="3:22" ht="14.4" customHeight="1" x14ac:dyDescent="0.3">
      <c r="C8" s="19"/>
      <c r="D8" s="19"/>
      <c r="E8" s="19"/>
      <c r="F8" s="19"/>
      <c r="G8" s="19"/>
      <c r="H8" s="19"/>
      <c r="I8" s="19"/>
      <c r="J8" s="19"/>
      <c r="K8" s="19"/>
      <c r="L8" s="19"/>
      <c r="M8" s="19"/>
      <c r="N8" s="19"/>
      <c r="O8" s="9"/>
      <c r="P8" s="9"/>
      <c r="Q8" s="9"/>
      <c r="R8" s="9"/>
      <c r="U8" s="4" t="s">
        <v>214</v>
      </c>
      <c r="V8" t="s">
        <v>216</v>
      </c>
    </row>
    <row r="9" spans="3:22" ht="14.4" customHeight="1" x14ac:dyDescent="0.3">
      <c r="C9" s="19"/>
      <c r="D9" s="19"/>
      <c r="E9" s="19"/>
      <c r="F9" s="19"/>
      <c r="G9" s="19"/>
      <c r="H9" s="19"/>
      <c r="I9" s="19"/>
      <c r="J9" s="19"/>
      <c r="K9" s="19"/>
      <c r="L9" s="19"/>
      <c r="M9" s="19"/>
      <c r="N9" s="19"/>
      <c r="O9" s="9"/>
      <c r="P9" s="9"/>
      <c r="Q9" s="9"/>
      <c r="R9" s="9"/>
      <c r="U9" s="5" t="s">
        <v>46</v>
      </c>
      <c r="V9" s="6">
        <v>24</v>
      </c>
    </row>
    <row r="10" spans="3:22" ht="14.4" customHeight="1" x14ac:dyDescent="0.3">
      <c r="C10" s="19"/>
      <c r="D10" s="19"/>
      <c r="E10" s="19"/>
      <c r="F10" s="19"/>
      <c r="G10" s="19"/>
      <c r="H10" s="19"/>
      <c r="I10" s="19"/>
      <c r="J10" s="19"/>
      <c r="K10" s="19"/>
      <c r="L10" s="19"/>
      <c r="M10" s="19"/>
      <c r="N10" s="19"/>
      <c r="O10" s="9"/>
      <c r="P10" s="9"/>
      <c r="Q10" s="9"/>
      <c r="R10" s="9"/>
      <c r="U10" s="5" t="s">
        <v>33</v>
      </c>
      <c r="V10" s="6">
        <v>26</v>
      </c>
    </row>
    <row r="11" spans="3:22" ht="14.4" customHeight="1" x14ac:dyDescent="0.3">
      <c r="C11" s="19"/>
      <c r="D11" s="19"/>
      <c r="E11" s="19"/>
      <c r="F11" s="19"/>
      <c r="G11" s="19"/>
      <c r="H11" s="19"/>
      <c r="I11" s="19"/>
      <c r="J11" s="19"/>
      <c r="K11" s="19"/>
      <c r="L11" s="19"/>
      <c r="M11" s="19"/>
      <c r="N11" s="19"/>
      <c r="O11" s="9"/>
      <c r="P11" s="9"/>
      <c r="Q11" s="9"/>
      <c r="R11" s="9"/>
      <c r="U11" s="5" t="s">
        <v>14</v>
      </c>
      <c r="V11" s="6">
        <v>28</v>
      </c>
    </row>
    <row r="12" spans="3:22" ht="14.4" customHeight="1" x14ac:dyDescent="0.3">
      <c r="C12" s="19"/>
      <c r="D12" s="19"/>
      <c r="E12" s="19"/>
      <c r="F12" s="19"/>
      <c r="G12" s="19"/>
      <c r="H12" s="19"/>
      <c r="I12" s="19"/>
      <c r="J12" s="19"/>
      <c r="K12" s="19"/>
      <c r="L12" s="19"/>
      <c r="M12" s="19"/>
      <c r="N12" s="19"/>
      <c r="O12" s="9"/>
      <c r="P12" s="9"/>
      <c r="Q12" s="9"/>
      <c r="R12" s="9"/>
      <c r="U12" s="5" t="s">
        <v>21</v>
      </c>
      <c r="V12" s="6">
        <v>22</v>
      </c>
    </row>
    <row r="13" spans="3:22" ht="25.8" customHeight="1" x14ac:dyDescent="0.3">
      <c r="C13" s="19"/>
      <c r="D13" s="19"/>
      <c r="E13" s="19"/>
      <c r="F13" s="19"/>
      <c r="G13" s="19"/>
      <c r="H13" s="19"/>
      <c r="I13" s="19"/>
      <c r="J13" s="19"/>
      <c r="K13" s="19"/>
      <c r="L13" s="19"/>
      <c r="M13" s="19"/>
      <c r="N13" s="19"/>
      <c r="O13" s="9"/>
      <c r="P13" s="9"/>
      <c r="Q13" s="9"/>
      <c r="R13" s="9"/>
      <c r="U13" s="5" t="s">
        <v>215</v>
      </c>
      <c r="V13" s="6">
        <v>100</v>
      </c>
    </row>
    <row r="14" spans="3:22" x14ac:dyDescent="0.3">
      <c r="C14" s="7"/>
      <c r="D14" s="7"/>
      <c r="E14" s="7"/>
      <c r="F14" s="7"/>
      <c r="G14" s="7"/>
      <c r="H14" s="7"/>
      <c r="I14" s="7"/>
      <c r="J14" s="7"/>
      <c r="K14" s="7"/>
      <c r="L14" s="7"/>
      <c r="M14" s="7"/>
      <c r="N14" s="7"/>
      <c r="O14" s="11" t="str">
        <f>_xlfn.XLOOKUP(MAX(V9:V12),V9:V12,U9:U12)</f>
        <v>South</v>
      </c>
      <c r="P14" s="11"/>
      <c r="Q14" s="11"/>
      <c r="R14" s="11"/>
    </row>
    <row r="15" spans="3:22" x14ac:dyDescent="0.3">
      <c r="C15" s="7"/>
      <c r="D15" s="7"/>
      <c r="E15" s="7"/>
      <c r="F15" s="7"/>
      <c r="G15" s="7"/>
      <c r="H15" s="7"/>
      <c r="I15" s="7"/>
      <c r="J15" s="7"/>
      <c r="K15" s="7"/>
      <c r="L15" s="7"/>
      <c r="M15" s="7"/>
      <c r="N15" s="7"/>
      <c r="O15" s="11"/>
      <c r="P15" s="11"/>
      <c r="Q15" s="11"/>
      <c r="R15" s="11"/>
    </row>
    <row r="16" spans="3:22" x14ac:dyDescent="0.3">
      <c r="C16" s="7"/>
      <c r="D16" s="7"/>
      <c r="E16" s="7"/>
      <c r="F16" s="7"/>
      <c r="G16" s="7"/>
      <c r="H16" s="7"/>
      <c r="I16" s="7"/>
      <c r="J16" s="7"/>
      <c r="K16" s="7"/>
      <c r="L16" s="7"/>
      <c r="M16" s="7"/>
      <c r="N16" s="7"/>
      <c r="O16" s="11"/>
      <c r="P16" s="11"/>
      <c r="Q16" s="11"/>
      <c r="R16" s="11"/>
    </row>
    <row r="17" spans="3:22" x14ac:dyDescent="0.3">
      <c r="C17" s="7"/>
      <c r="D17" s="7"/>
      <c r="E17" s="7"/>
      <c r="F17" s="7"/>
      <c r="G17" s="7"/>
      <c r="H17" s="7"/>
      <c r="I17" s="7"/>
      <c r="J17" s="7"/>
      <c r="K17" s="7"/>
      <c r="L17" s="7"/>
      <c r="M17" s="7"/>
      <c r="N17" s="7"/>
      <c r="O17" s="11"/>
      <c r="P17" s="11"/>
      <c r="Q17" s="11"/>
      <c r="R17" s="11"/>
      <c r="U17" s="4" t="s">
        <v>214</v>
      </c>
      <c r="V17" t="s">
        <v>217</v>
      </c>
    </row>
    <row r="18" spans="3:22" x14ac:dyDescent="0.3">
      <c r="C18" s="7"/>
      <c r="D18" s="7"/>
      <c r="E18" s="7"/>
      <c r="F18" s="7"/>
      <c r="G18" s="7"/>
      <c r="H18" s="7"/>
      <c r="I18" s="7"/>
      <c r="J18" s="7"/>
      <c r="K18" s="7"/>
      <c r="L18" s="7"/>
      <c r="M18" s="7"/>
      <c r="N18" s="7"/>
      <c r="O18" s="11"/>
      <c r="P18" s="11"/>
      <c r="Q18" s="11"/>
      <c r="R18" s="11"/>
      <c r="U18" s="5" t="s">
        <v>22</v>
      </c>
      <c r="V18" s="6">
        <v>3513500</v>
      </c>
    </row>
    <row r="19" spans="3:22" x14ac:dyDescent="0.3">
      <c r="C19" s="7"/>
      <c r="D19" s="7"/>
      <c r="E19" s="7"/>
      <c r="F19" s="7"/>
      <c r="G19" s="7"/>
      <c r="H19" s="7"/>
      <c r="I19" s="7"/>
      <c r="J19" s="7"/>
      <c r="K19" s="7"/>
      <c r="L19" s="7"/>
      <c r="M19" s="7"/>
      <c r="N19" s="7"/>
      <c r="O19" s="11"/>
      <c r="P19" s="11"/>
      <c r="Q19" s="11"/>
      <c r="R19" s="11"/>
      <c r="U19" s="5" t="s">
        <v>16</v>
      </c>
      <c r="V19" s="6">
        <v>388500</v>
      </c>
    </row>
    <row r="20" spans="3:22" x14ac:dyDescent="0.3">
      <c r="C20" s="7"/>
      <c r="D20" s="7"/>
      <c r="E20" s="7"/>
      <c r="F20" s="7"/>
      <c r="G20" s="7"/>
      <c r="H20" s="7"/>
      <c r="I20" s="7"/>
      <c r="J20" s="7"/>
      <c r="K20" s="7"/>
      <c r="L20" s="7"/>
      <c r="M20" s="7"/>
      <c r="N20" s="7"/>
      <c r="O20" s="11"/>
      <c r="P20" s="11"/>
      <c r="Q20" s="11"/>
      <c r="R20" s="11"/>
      <c r="U20" s="5" t="s">
        <v>47</v>
      </c>
      <c r="V20" s="6">
        <v>319200</v>
      </c>
    </row>
    <row r="21" spans="3:22" x14ac:dyDescent="0.3">
      <c r="C21" s="7"/>
      <c r="D21" s="7"/>
      <c r="E21" s="7"/>
      <c r="F21" s="7"/>
      <c r="G21" s="7"/>
      <c r="H21" s="7"/>
      <c r="I21" s="7"/>
      <c r="J21" s="7"/>
      <c r="K21" s="7"/>
      <c r="L21" s="7"/>
      <c r="M21" s="7"/>
      <c r="N21" s="7"/>
      <c r="O21" s="11"/>
      <c r="P21" s="11"/>
      <c r="Q21" s="11"/>
      <c r="R21" s="11"/>
      <c r="U21" s="5" t="s">
        <v>34</v>
      </c>
      <c r="V21" s="6">
        <v>206400</v>
      </c>
    </row>
    <row r="22" spans="3:22" x14ac:dyDescent="0.3">
      <c r="C22" s="7"/>
      <c r="D22" s="7"/>
      <c r="E22" s="7"/>
      <c r="F22" s="7"/>
      <c r="G22" s="7"/>
      <c r="H22" s="7"/>
      <c r="I22" s="7"/>
      <c r="J22" s="7"/>
      <c r="K22" s="7"/>
      <c r="L22" s="7"/>
      <c r="M22" s="7"/>
      <c r="N22" s="7"/>
      <c r="O22" s="11"/>
      <c r="P22" s="11"/>
      <c r="Q22" s="11"/>
      <c r="R22" s="11"/>
      <c r="U22" s="5" t="s">
        <v>215</v>
      </c>
      <c r="V22" s="6">
        <v>4427600</v>
      </c>
    </row>
    <row r="23" spans="3:22" x14ac:dyDescent="0.3">
      <c r="C23" s="7"/>
      <c r="D23" s="7"/>
      <c r="E23" s="7"/>
      <c r="F23" s="7"/>
      <c r="G23" s="7"/>
      <c r="H23" s="7"/>
      <c r="I23" s="7"/>
      <c r="J23" s="7"/>
      <c r="K23" s="7"/>
      <c r="L23" s="7"/>
      <c r="M23" s="7"/>
      <c r="N23" s="7"/>
      <c r="O23" s="10"/>
      <c r="P23" s="10"/>
      <c r="Q23" s="10"/>
      <c r="R23" s="10"/>
    </row>
    <row r="24" spans="3:22" x14ac:dyDescent="0.3">
      <c r="C24" s="7"/>
      <c r="D24" s="7"/>
      <c r="E24" s="7"/>
      <c r="F24" s="7"/>
      <c r="G24" s="7"/>
      <c r="H24" s="7"/>
      <c r="I24" s="7"/>
      <c r="J24" s="7"/>
      <c r="K24" s="7"/>
      <c r="L24" s="7"/>
      <c r="M24" s="7"/>
      <c r="N24" s="7"/>
      <c r="O24" s="10"/>
      <c r="P24" s="10"/>
      <c r="Q24" s="10"/>
      <c r="R24" s="10"/>
    </row>
    <row r="25" spans="3:22" x14ac:dyDescent="0.3">
      <c r="C25" s="7"/>
      <c r="D25" s="7"/>
      <c r="E25" s="7"/>
      <c r="F25" s="7"/>
      <c r="G25" s="7"/>
      <c r="H25" s="7"/>
      <c r="I25" s="7"/>
      <c r="J25" s="7"/>
      <c r="K25" s="7"/>
      <c r="L25" s="7"/>
      <c r="M25" s="7"/>
      <c r="N25" s="7"/>
      <c r="O25" s="10"/>
      <c r="P25" s="10"/>
      <c r="Q25" s="10"/>
      <c r="R25" s="10"/>
      <c r="U25" s="4" t="s">
        <v>214</v>
      </c>
      <c r="V25" t="s">
        <v>216</v>
      </c>
    </row>
    <row r="26" spans="3:22" x14ac:dyDescent="0.3">
      <c r="C26" s="7"/>
      <c r="D26" s="7"/>
      <c r="E26" s="7"/>
      <c r="F26" s="7"/>
      <c r="G26" s="7"/>
      <c r="H26" s="7"/>
      <c r="I26" s="7"/>
      <c r="J26" s="7"/>
      <c r="K26" s="7"/>
      <c r="L26" s="7"/>
      <c r="M26" s="7"/>
      <c r="N26" s="7"/>
      <c r="O26" s="10"/>
      <c r="P26" s="10"/>
      <c r="Q26" s="10"/>
      <c r="R26" s="10"/>
      <c r="U26" s="5" t="s">
        <v>18</v>
      </c>
      <c r="V26" s="6">
        <v>48</v>
      </c>
    </row>
    <row r="27" spans="3:22" x14ac:dyDescent="0.3">
      <c r="C27" s="7"/>
      <c r="D27" s="7"/>
      <c r="E27" s="7"/>
      <c r="F27" s="7"/>
      <c r="G27" s="7"/>
      <c r="H27" s="7"/>
      <c r="I27" s="7"/>
      <c r="J27" s="7"/>
      <c r="K27" s="7"/>
      <c r="L27" s="7"/>
      <c r="M27" s="7"/>
      <c r="N27" s="7"/>
      <c r="O27" s="10"/>
      <c r="P27" s="10"/>
      <c r="Q27" s="10"/>
      <c r="R27" s="10"/>
      <c r="U27" s="5" t="s">
        <v>24</v>
      </c>
      <c r="V27" s="6">
        <v>52</v>
      </c>
    </row>
    <row r="28" spans="3:22" x14ac:dyDescent="0.3">
      <c r="C28" s="7"/>
      <c r="D28" s="7"/>
      <c r="E28" s="7"/>
      <c r="F28" s="7"/>
      <c r="G28" s="7"/>
      <c r="H28" s="7"/>
      <c r="I28" s="7"/>
      <c r="J28" s="7"/>
      <c r="K28" s="7"/>
      <c r="L28" s="7"/>
      <c r="M28" s="7"/>
      <c r="N28" s="7"/>
      <c r="O28" s="10"/>
      <c r="P28" s="10"/>
      <c r="Q28" s="10"/>
      <c r="R28" s="10"/>
      <c r="U28" s="5" t="s">
        <v>215</v>
      </c>
      <c r="V28" s="6">
        <v>100</v>
      </c>
    </row>
    <row r="29" spans="3:22" x14ac:dyDescent="0.3">
      <c r="C29" s="7"/>
      <c r="D29" s="7"/>
      <c r="E29" s="7"/>
      <c r="F29" s="7"/>
      <c r="G29" s="7"/>
      <c r="H29" s="7"/>
      <c r="I29" s="7"/>
      <c r="J29" s="7"/>
      <c r="K29" s="7"/>
      <c r="L29" s="7"/>
      <c r="M29" s="7"/>
      <c r="N29" s="7"/>
      <c r="O29" s="10"/>
      <c r="P29" s="10"/>
      <c r="Q29" s="10"/>
      <c r="R29" s="10"/>
    </row>
    <row r="30" spans="3:22" x14ac:dyDescent="0.3">
      <c r="C30" s="7"/>
      <c r="D30" s="7"/>
      <c r="E30" s="7"/>
      <c r="F30" s="7"/>
      <c r="G30" s="7"/>
      <c r="H30" s="7"/>
      <c r="I30" s="7"/>
      <c r="J30" s="7"/>
      <c r="K30" s="7"/>
      <c r="L30" s="7"/>
      <c r="M30" s="7"/>
      <c r="N30" s="7"/>
      <c r="O30" s="10"/>
      <c r="P30" s="10"/>
      <c r="Q30" s="10"/>
      <c r="R30" s="10"/>
    </row>
    <row r="31" spans="3:22" x14ac:dyDescent="0.3">
      <c r="C31" s="7"/>
      <c r="D31" s="7"/>
      <c r="E31" s="7"/>
      <c r="F31" s="7"/>
      <c r="G31" s="7"/>
      <c r="H31" s="7"/>
      <c r="I31" s="7"/>
      <c r="J31" s="7"/>
      <c r="K31" s="7"/>
      <c r="L31" s="7"/>
      <c r="M31" s="7"/>
      <c r="N31" s="7"/>
      <c r="O31" s="10"/>
      <c r="P31" s="10"/>
      <c r="Q31" s="10"/>
      <c r="R31" s="10"/>
      <c r="U31" s="4" t="s">
        <v>214</v>
      </c>
      <c r="V31" t="s">
        <v>216</v>
      </c>
    </row>
    <row r="32" spans="3:22" x14ac:dyDescent="0.3">
      <c r="C32" s="7"/>
      <c r="D32" s="7"/>
      <c r="E32" s="7"/>
      <c r="F32" s="7"/>
      <c r="G32" s="7"/>
      <c r="H32" s="7"/>
      <c r="I32" s="7"/>
      <c r="J32" s="7"/>
      <c r="K32" s="7"/>
      <c r="L32" s="7"/>
      <c r="M32" s="7"/>
      <c r="N32" s="7"/>
      <c r="O32" s="10"/>
      <c r="P32" s="10"/>
      <c r="Q32" s="10"/>
      <c r="R32" s="10"/>
      <c r="U32" s="5" t="s">
        <v>15</v>
      </c>
      <c r="V32" s="6">
        <v>36</v>
      </c>
    </row>
    <row r="33" spans="3:22" x14ac:dyDescent="0.3">
      <c r="C33" s="7"/>
      <c r="D33" s="7"/>
      <c r="E33" s="7"/>
      <c r="F33" s="7"/>
      <c r="G33" s="7"/>
      <c r="H33" s="7"/>
      <c r="I33" s="7"/>
      <c r="J33" s="7"/>
      <c r="K33" s="7"/>
      <c r="L33" s="7"/>
      <c r="M33" s="7"/>
      <c r="N33" s="7"/>
      <c r="O33" s="10"/>
      <c r="P33" s="10"/>
      <c r="Q33" s="10"/>
      <c r="R33" s="10"/>
      <c r="U33" s="5" t="s">
        <v>30</v>
      </c>
      <c r="V33" s="6">
        <v>29</v>
      </c>
    </row>
    <row r="34" spans="3:22" x14ac:dyDescent="0.3">
      <c r="C34" s="7"/>
      <c r="D34" s="7"/>
      <c r="E34" s="7"/>
      <c r="F34" s="7"/>
      <c r="G34" s="7"/>
      <c r="H34" s="7"/>
      <c r="I34" s="7"/>
      <c r="J34" s="7"/>
      <c r="K34" s="7"/>
      <c r="L34" s="7"/>
      <c r="M34" s="7"/>
      <c r="N34" s="7"/>
      <c r="O34" s="10"/>
      <c r="P34" s="10"/>
      <c r="Q34" s="10"/>
      <c r="R34" s="10"/>
      <c r="U34" s="5" t="s">
        <v>38</v>
      </c>
      <c r="V34" s="6">
        <v>35</v>
      </c>
    </row>
    <row r="35" spans="3:22" x14ac:dyDescent="0.3">
      <c r="C35" s="7"/>
      <c r="D35" s="7"/>
      <c r="E35" s="7"/>
      <c r="F35" s="7"/>
      <c r="G35" s="7"/>
      <c r="H35" s="7"/>
      <c r="I35" s="7"/>
      <c r="J35" s="7"/>
      <c r="K35" s="7"/>
      <c r="L35" s="7"/>
      <c r="M35" s="7"/>
      <c r="N35" s="7"/>
      <c r="O35" s="10"/>
      <c r="P35" s="10"/>
      <c r="Q35" s="10"/>
      <c r="R35" s="10"/>
      <c r="U35" s="5" t="s">
        <v>215</v>
      </c>
      <c r="V35" s="6">
        <v>100</v>
      </c>
    </row>
    <row r="36" spans="3:22" x14ac:dyDescent="0.3">
      <c r="C36" s="7"/>
      <c r="D36" s="7"/>
      <c r="E36" s="7"/>
      <c r="F36" s="7"/>
      <c r="G36" s="7"/>
      <c r="H36" s="7"/>
      <c r="I36" s="7"/>
      <c r="J36" s="7"/>
      <c r="K36" s="7"/>
      <c r="L36" s="7"/>
      <c r="M36" s="7"/>
      <c r="N36" s="7"/>
      <c r="O36" s="10"/>
      <c r="P36" s="10"/>
      <c r="Q36" s="10"/>
      <c r="R36" s="10"/>
    </row>
    <row r="37" spans="3:22" x14ac:dyDescent="0.3">
      <c r="C37" s="7"/>
      <c r="D37" s="7"/>
      <c r="E37" s="7"/>
      <c r="F37" s="7"/>
      <c r="G37" s="7"/>
      <c r="H37" s="7"/>
      <c r="I37" s="7"/>
      <c r="J37" s="7"/>
      <c r="K37" s="7"/>
      <c r="L37" s="7"/>
      <c r="M37" s="7"/>
      <c r="N37" s="7"/>
      <c r="O37" s="10"/>
      <c r="P37" s="10"/>
      <c r="Q37" s="10"/>
      <c r="R37" s="10"/>
    </row>
    <row r="38" spans="3:22" ht="14.4" customHeight="1" x14ac:dyDescent="0.3">
      <c r="C38" s="20"/>
      <c r="D38" s="20"/>
      <c r="E38" s="20"/>
      <c r="F38" s="7"/>
      <c r="G38" s="7"/>
      <c r="H38" s="7"/>
      <c r="I38" s="7"/>
      <c r="J38" s="7"/>
      <c r="K38" s="7"/>
      <c r="L38" s="7"/>
      <c r="M38" s="7"/>
      <c r="N38" s="7"/>
      <c r="O38" s="10"/>
      <c r="P38" s="10"/>
      <c r="Q38" s="10"/>
      <c r="R38" s="10"/>
      <c r="U38" s="4" t="s">
        <v>214</v>
      </c>
      <c r="V38" t="s">
        <v>217</v>
      </c>
    </row>
    <row r="39" spans="3:22" ht="14.4" customHeight="1" x14ac:dyDescent="0.3">
      <c r="C39" s="20"/>
      <c r="D39" s="20"/>
      <c r="E39" s="20"/>
      <c r="F39" s="7"/>
      <c r="G39" s="7"/>
      <c r="H39" s="7"/>
      <c r="I39" s="7"/>
      <c r="J39" s="7"/>
      <c r="K39" s="7"/>
      <c r="L39" s="7"/>
      <c r="M39" s="7"/>
      <c r="N39" s="7"/>
      <c r="O39" s="7"/>
      <c r="P39" s="7"/>
      <c r="Q39" s="7"/>
      <c r="R39" s="7"/>
      <c r="U39" s="5" t="s">
        <v>220</v>
      </c>
      <c r="V39" s="6">
        <v>1203500</v>
      </c>
    </row>
    <row r="40" spans="3:22" ht="14.4" customHeight="1" x14ac:dyDescent="0.3">
      <c r="C40" s="20"/>
      <c r="D40" s="20"/>
      <c r="E40" s="20"/>
      <c r="F40" s="7"/>
      <c r="G40" s="7"/>
      <c r="H40" s="7"/>
      <c r="I40" s="7"/>
      <c r="J40" s="7"/>
      <c r="K40" s="7"/>
      <c r="L40" s="7"/>
      <c r="M40" s="7"/>
      <c r="N40" s="7"/>
      <c r="O40" s="7"/>
      <c r="P40" s="7"/>
      <c r="Q40" s="7"/>
      <c r="R40" s="7"/>
      <c r="U40" s="5" t="s">
        <v>221</v>
      </c>
      <c r="V40" s="6">
        <v>267400</v>
      </c>
    </row>
    <row r="41" spans="3:22" ht="14.4" customHeight="1" x14ac:dyDescent="0.3">
      <c r="C41" s="20"/>
      <c r="D41" s="20"/>
      <c r="E41" s="20"/>
      <c r="F41" s="7"/>
      <c r="G41" s="7"/>
      <c r="H41" s="7"/>
      <c r="I41" s="7"/>
      <c r="J41" s="7"/>
      <c r="K41" s="7"/>
      <c r="L41" s="7"/>
      <c r="M41" s="7"/>
      <c r="N41" s="7"/>
      <c r="O41" s="7"/>
      <c r="P41" s="7"/>
      <c r="Q41" s="7"/>
      <c r="R41" s="7"/>
      <c r="U41" s="5" t="s">
        <v>222</v>
      </c>
      <c r="V41" s="6">
        <v>198100</v>
      </c>
    </row>
    <row r="42" spans="3:22" ht="14.4" customHeight="1" x14ac:dyDescent="0.3">
      <c r="C42" s="20"/>
      <c r="D42" s="20"/>
      <c r="E42" s="20"/>
      <c r="F42" s="7"/>
      <c r="G42" s="7"/>
      <c r="H42" s="7"/>
      <c r="I42" s="7"/>
      <c r="J42" s="7"/>
      <c r="K42" s="7"/>
      <c r="L42" s="7"/>
      <c r="M42" s="7"/>
      <c r="N42" s="7"/>
      <c r="O42" s="7"/>
      <c r="P42" s="7"/>
      <c r="Q42" s="7"/>
      <c r="R42" s="7"/>
      <c r="U42" s="5" t="s">
        <v>224</v>
      </c>
      <c r="V42" s="6">
        <v>1480200</v>
      </c>
    </row>
    <row r="43" spans="3:22" ht="14.4" customHeight="1" x14ac:dyDescent="0.3">
      <c r="C43" s="20"/>
      <c r="D43" s="20"/>
      <c r="E43" s="20"/>
      <c r="F43" s="7"/>
      <c r="G43" s="7"/>
      <c r="H43" s="7"/>
      <c r="I43" s="7"/>
      <c r="J43" s="7"/>
      <c r="K43" s="7"/>
      <c r="L43" s="7"/>
      <c r="M43" s="7"/>
      <c r="N43" s="7"/>
      <c r="O43" s="7"/>
      <c r="P43" s="7"/>
      <c r="Q43" s="7"/>
      <c r="R43" s="7"/>
      <c r="U43" s="5" t="s">
        <v>223</v>
      </c>
      <c r="V43" s="6">
        <v>622500</v>
      </c>
    </row>
    <row r="44" spans="3:22" ht="14.4" customHeight="1" x14ac:dyDescent="0.3">
      <c r="C44" s="20"/>
      <c r="D44" s="20"/>
      <c r="E44" s="20"/>
      <c r="F44" s="7"/>
      <c r="G44" s="7"/>
      <c r="H44" s="7"/>
      <c r="I44" s="7"/>
      <c r="J44" s="7"/>
      <c r="K44" s="7"/>
      <c r="L44" s="7"/>
      <c r="M44" s="7"/>
      <c r="N44" s="7"/>
      <c r="O44" s="7"/>
      <c r="P44" s="7"/>
      <c r="Q44" s="7"/>
      <c r="R44" s="7"/>
      <c r="U44" s="5" t="s">
        <v>225</v>
      </c>
      <c r="V44" s="6">
        <v>655900</v>
      </c>
    </row>
    <row r="45" spans="3:22" ht="14.4" customHeight="1" x14ac:dyDescent="0.3">
      <c r="C45" s="20"/>
      <c r="D45" s="20"/>
      <c r="E45" s="20"/>
      <c r="F45" s="7"/>
      <c r="G45" s="7"/>
      <c r="H45" s="7"/>
      <c r="I45" s="7"/>
      <c r="J45" s="7"/>
      <c r="K45" s="7"/>
      <c r="L45" s="7"/>
      <c r="M45" s="7"/>
      <c r="N45" s="7"/>
      <c r="O45" s="7"/>
      <c r="P45" s="7"/>
      <c r="Q45" s="7"/>
      <c r="R45" s="7"/>
      <c r="U45" s="5" t="s">
        <v>215</v>
      </c>
      <c r="V45" s="6">
        <v>4427600</v>
      </c>
    </row>
    <row r="46" spans="3:22" ht="14.4" customHeight="1" x14ac:dyDescent="0.3">
      <c r="C46" s="20"/>
      <c r="D46" s="20"/>
      <c r="E46" s="20"/>
      <c r="F46" s="7"/>
      <c r="G46" s="7"/>
      <c r="H46" s="7"/>
      <c r="I46" s="7"/>
      <c r="J46" s="7"/>
      <c r="K46" s="7"/>
      <c r="L46" s="7"/>
      <c r="M46" s="7"/>
      <c r="N46" s="7"/>
      <c r="O46" s="7"/>
      <c r="P46" s="7"/>
      <c r="Q46" s="7"/>
      <c r="R46" s="7"/>
    </row>
    <row r="47" spans="3:22" ht="14.4" customHeight="1" x14ac:dyDescent="0.3">
      <c r="C47" s="20"/>
      <c r="D47" s="20"/>
      <c r="E47" s="20"/>
      <c r="F47" s="7"/>
      <c r="G47" s="7"/>
      <c r="H47" s="7"/>
      <c r="I47" s="7"/>
      <c r="J47" s="7"/>
      <c r="K47" s="7"/>
      <c r="L47" s="7"/>
      <c r="M47" s="7"/>
      <c r="N47" s="7"/>
      <c r="O47" s="7"/>
      <c r="P47" s="7"/>
      <c r="Q47" s="7"/>
      <c r="R47" s="7"/>
    </row>
    <row r="48" spans="3:22" x14ac:dyDescent="0.3">
      <c r="U48" s="4" t="s">
        <v>214</v>
      </c>
      <c r="V48" t="s">
        <v>219</v>
      </c>
    </row>
    <row r="49" spans="21:22" x14ac:dyDescent="0.3">
      <c r="U49" s="5" t="s">
        <v>15</v>
      </c>
      <c r="V49">
        <v>4.2777777777777777</v>
      </c>
    </row>
    <row r="50" spans="21:22" x14ac:dyDescent="0.3">
      <c r="U50" s="5" t="s">
        <v>30</v>
      </c>
      <c r="V50">
        <v>4.1379310344827589</v>
      </c>
    </row>
    <row r="51" spans="21:22" x14ac:dyDescent="0.3">
      <c r="U51" s="5" t="s">
        <v>38</v>
      </c>
      <c r="V51">
        <v>4.6571428571428575</v>
      </c>
    </row>
    <row r="52" spans="21:22" x14ac:dyDescent="0.3">
      <c r="U52" s="5" t="s">
        <v>215</v>
      </c>
      <c r="V52">
        <v>4.37</v>
      </c>
    </row>
    <row r="58" spans="21:22" x14ac:dyDescent="0.3">
      <c r="U58" s="4" t="s">
        <v>214</v>
      </c>
      <c r="V58" t="s">
        <v>217</v>
      </c>
    </row>
    <row r="59" spans="21:22" x14ac:dyDescent="0.3">
      <c r="U59" s="5" t="s">
        <v>22</v>
      </c>
      <c r="V59" s="6">
        <v>3513500</v>
      </c>
    </row>
    <row r="60" spans="21:22" x14ac:dyDescent="0.3">
      <c r="U60" s="5" t="s">
        <v>47</v>
      </c>
      <c r="V60" s="6">
        <v>319200</v>
      </c>
    </row>
    <row r="61" spans="21:22" x14ac:dyDescent="0.3">
      <c r="U61" s="5" t="s">
        <v>34</v>
      </c>
      <c r="V61" s="6">
        <v>206400</v>
      </c>
    </row>
    <row r="62" spans="21:22" x14ac:dyDescent="0.3">
      <c r="U62" s="5" t="s">
        <v>16</v>
      </c>
      <c r="V62" s="6">
        <v>388500</v>
      </c>
    </row>
    <row r="63" spans="21:22" x14ac:dyDescent="0.3">
      <c r="U63" s="5" t="s">
        <v>215</v>
      </c>
      <c r="V63" s="6">
        <v>4427600</v>
      </c>
    </row>
  </sheetData>
  <mergeCells count="11">
    <mergeCell ref="O23:R38"/>
    <mergeCell ref="O1:R4"/>
    <mergeCell ref="O5:R13"/>
    <mergeCell ref="O14:R22"/>
    <mergeCell ref="M1:N4"/>
    <mergeCell ref="C38:E47"/>
    <mergeCell ref="C1:D4"/>
    <mergeCell ref="E1:F4"/>
    <mergeCell ref="G1:H4"/>
    <mergeCell ref="I1:J4"/>
    <mergeCell ref="K1:L4"/>
  </mergeCells>
  <pageMargins left="0.7" right="0.7" top="0.75" bottom="0.75" header="0.3" footer="0.3"/>
  <pageSetup paperSize="9" orientation="portrait" horizontalDpi="300" verticalDpi="300"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
  <sheetViews>
    <sheetView topLeftCell="A75" workbookViewId="0">
      <selection activeCell="B2" sqref="B2:B101"/>
    </sheetView>
  </sheetViews>
  <sheetFormatPr defaultColWidth="9.109375" defaultRowHeight="14.4" x14ac:dyDescent="0.3"/>
  <cols>
    <col min="1" max="1" width="9" style="1" bestFit="1" customWidth="1"/>
    <col min="2" max="2" width="11.33203125" style="1" bestFit="1" customWidth="1"/>
    <col min="3" max="3" width="13.6640625" style="1" bestFit="1" customWidth="1"/>
    <col min="4" max="4" width="7.109375" style="1" bestFit="1" customWidth="1"/>
    <col min="5" max="5" width="11.109375" style="1" bestFit="1" customWidth="1"/>
    <col min="6" max="6" width="10.5546875" style="1" bestFit="1" customWidth="1"/>
    <col min="7" max="7" width="12.109375" style="1" bestFit="1" customWidth="1"/>
    <col min="8" max="8" width="8.6640625" style="1" bestFit="1" customWidth="1"/>
    <col min="9" max="9" width="10.109375" style="1" bestFit="1" customWidth="1"/>
    <col min="10" max="10" width="8.88671875" style="1" bestFit="1" customWidth="1"/>
    <col min="11" max="11" width="13.6640625" style="1" bestFit="1" customWidth="1"/>
    <col min="12" max="12" width="15" style="1" bestFit="1" customWidth="1"/>
    <col min="13" max="16384" width="9.109375" style="1"/>
  </cols>
  <sheetData>
    <row r="1" spans="1:12" x14ac:dyDescent="0.3">
      <c r="A1" s="2" t="s">
        <v>0</v>
      </c>
      <c r="B1" s="2" t="s">
        <v>1</v>
      </c>
      <c r="C1" s="2" t="s">
        <v>2</v>
      </c>
      <c r="D1" s="2" t="s">
        <v>3</v>
      </c>
      <c r="E1" s="2" t="s">
        <v>4</v>
      </c>
      <c r="F1" s="2" t="s">
        <v>5</v>
      </c>
      <c r="G1" s="2" t="s">
        <v>6</v>
      </c>
      <c r="H1" s="2" t="s">
        <v>7</v>
      </c>
      <c r="I1" s="2" t="s">
        <v>8</v>
      </c>
      <c r="J1" s="2" t="s">
        <v>9</v>
      </c>
      <c r="K1" s="2" t="s">
        <v>10</v>
      </c>
      <c r="L1" s="2" t="s">
        <v>11</v>
      </c>
    </row>
    <row r="2" spans="1:12" x14ac:dyDescent="0.3">
      <c r="A2" s="3">
        <v>1001</v>
      </c>
      <c r="B2" s="3" t="s">
        <v>12</v>
      </c>
      <c r="C2" s="3" t="s">
        <v>13</v>
      </c>
      <c r="D2" s="3" t="s">
        <v>14</v>
      </c>
      <c r="E2" s="3" t="s">
        <v>15</v>
      </c>
      <c r="F2" s="3" t="s">
        <v>16</v>
      </c>
      <c r="G2" s="3" t="s">
        <v>17</v>
      </c>
      <c r="H2" s="3">
        <v>4</v>
      </c>
      <c r="I2" s="3">
        <v>1500</v>
      </c>
      <c r="J2" s="3">
        <v>6000</v>
      </c>
      <c r="K2" s="3">
        <v>6</v>
      </c>
      <c r="L2" s="3" t="s">
        <v>18</v>
      </c>
    </row>
    <row r="3" spans="1:12" x14ac:dyDescent="0.3">
      <c r="A3" s="3">
        <v>1002</v>
      </c>
      <c r="B3" s="3" t="s">
        <v>19</v>
      </c>
      <c r="C3" s="3" t="s">
        <v>20</v>
      </c>
      <c r="D3" s="3" t="s">
        <v>21</v>
      </c>
      <c r="E3" s="3" t="s">
        <v>15</v>
      </c>
      <c r="F3" s="3" t="s">
        <v>22</v>
      </c>
      <c r="G3" s="3" t="s">
        <v>23</v>
      </c>
      <c r="H3" s="3">
        <v>8</v>
      </c>
      <c r="I3" s="3">
        <v>55000</v>
      </c>
      <c r="J3" s="3">
        <v>440000</v>
      </c>
      <c r="K3" s="3">
        <v>1</v>
      </c>
      <c r="L3" s="3" t="s">
        <v>24</v>
      </c>
    </row>
    <row r="4" spans="1:12" x14ac:dyDescent="0.3">
      <c r="A4" s="3">
        <v>1003</v>
      </c>
      <c r="B4" s="3" t="s">
        <v>25</v>
      </c>
      <c r="C4" s="3" t="s">
        <v>26</v>
      </c>
      <c r="D4" s="3" t="s">
        <v>14</v>
      </c>
      <c r="E4" s="3" t="s">
        <v>15</v>
      </c>
      <c r="F4" s="3" t="s">
        <v>22</v>
      </c>
      <c r="G4" s="3" t="s">
        <v>27</v>
      </c>
      <c r="H4" s="3">
        <v>3</v>
      </c>
      <c r="I4" s="3">
        <v>2500</v>
      </c>
      <c r="J4" s="3">
        <v>7500</v>
      </c>
      <c r="K4" s="3">
        <v>6</v>
      </c>
      <c r="L4" s="3" t="s">
        <v>18</v>
      </c>
    </row>
    <row r="5" spans="1:12" x14ac:dyDescent="0.3">
      <c r="A5" s="3">
        <v>1004</v>
      </c>
      <c r="B5" s="3" t="s">
        <v>28</v>
      </c>
      <c r="C5" s="3" t="s">
        <v>29</v>
      </c>
      <c r="D5" s="3" t="s">
        <v>14</v>
      </c>
      <c r="E5" s="3" t="s">
        <v>30</v>
      </c>
      <c r="F5" s="3" t="s">
        <v>16</v>
      </c>
      <c r="G5" s="3" t="s">
        <v>17</v>
      </c>
      <c r="H5" s="3">
        <v>8</v>
      </c>
      <c r="I5" s="3">
        <v>1500</v>
      </c>
      <c r="J5" s="3">
        <v>12000</v>
      </c>
      <c r="K5" s="3">
        <v>3</v>
      </c>
      <c r="L5" s="3" t="s">
        <v>24</v>
      </c>
    </row>
    <row r="6" spans="1:12" x14ac:dyDescent="0.3">
      <c r="A6" s="3">
        <v>1005</v>
      </c>
      <c r="B6" s="3" t="s">
        <v>31</v>
      </c>
      <c r="C6" s="3" t="s">
        <v>32</v>
      </c>
      <c r="D6" s="3" t="s">
        <v>33</v>
      </c>
      <c r="E6" s="3" t="s">
        <v>30</v>
      </c>
      <c r="F6" s="3" t="s">
        <v>34</v>
      </c>
      <c r="G6" s="3" t="s">
        <v>35</v>
      </c>
      <c r="H6" s="3">
        <v>6</v>
      </c>
      <c r="I6" s="3">
        <v>600</v>
      </c>
      <c r="J6" s="3">
        <v>3600</v>
      </c>
      <c r="K6" s="3">
        <v>1</v>
      </c>
      <c r="L6" s="3" t="s">
        <v>24</v>
      </c>
    </row>
    <row r="7" spans="1:12" x14ac:dyDescent="0.3">
      <c r="A7" s="3">
        <v>1006</v>
      </c>
      <c r="B7" s="3" t="s">
        <v>36</v>
      </c>
      <c r="C7" s="3" t="s">
        <v>37</v>
      </c>
      <c r="D7" s="3" t="s">
        <v>33</v>
      </c>
      <c r="E7" s="3" t="s">
        <v>38</v>
      </c>
      <c r="F7" s="3" t="s">
        <v>16</v>
      </c>
      <c r="G7" s="3" t="s">
        <v>39</v>
      </c>
      <c r="H7" s="3">
        <v>10</v>
      </c>
      <c r="I7" s="3">
        <v>3500</v>
      </c>
      <c r="J7" s="3">
        <v>35000</v>
      </c>
      <c r="K7" s="3">
        <v>6</v>
      </c>
      <c r="L7" s="3" t="s">
        <v>18</v>
      </c>
    </row>
    <row r="8" spans="1:12" x14ac:dyDescent="0.3">
      <c r="A8" s="3">
        <v>1007</v>
      </c>
      <c r="B8" s="3" t="s">
        <v>40</v>
      </c>
      <c r="C8" s="3" t="s">
        <v>41</v>
      </c>
      <c r="D8" s="3" t="s">
        <v>14</v>
      </c>
      <c r="E8" s="3" t="s">
        <v>30</v>
      </c>
      <c r="F8" s="3" t="s">
        <v>16</v>
      </c>
      <c r="G8" s="3" t="s">
        <v>17</v>
      </c>
      <c r="H8" s="3">
        <v>3</v>
      </c>
      <c r="I8" s="3">
        <v>1500</v>
      </c>
      <c r="J8" s="3">
        <v>4500</v>
      </c>
      <c r="K8" s="3">
        <v>4</v>
      </c>
      <c r="L8" s="3" t="s">
        <v>24</v>
      </c>
    </row>
    <row r="9" spans="1:12" x14ac:dyDescent="0.3">
      <c r="A9" s="3">
        <v>1008</v>
      </c>
      <c r="B9" s="3" t="s">
        <v>42</v>
      </c>
      <c r="C9" s="3" t="s">
        <v>43</v>
      </c>
      <c r="D9" s="3" t="s">
        <v>14</v>
      </c>
      <c r="E9" s="3" t="s">
        <v>15</v>
      </c>
      <c r="F9" s="3" t="s">
        <v>22</v>
      </c>
      <c r="G9" s="3" t="s">
        <v>27</v>
      </c>
      <c r="H9" s="3">
        <v>4</v>
      </c>
      <c r="I9" s="3">
        <v>2500</v>
      </c>
      <c r="J9" s="3">
        <v>10000</v>
      </c>
      <c r="K9" s="3">
        <v>6</v>
      </c>
      <c r="L9" s="3" t="s">
        <v>18</v>
      </c>
    </row>
    <row r="10" spans="1:12" x14ac:dyDescent="0.3">
      <c r="A10" s="3">
        <v>1009</v>
      </c>
      <c r="B10" s="3" t="s">
        <v>44</v>
      </c>
      <c r="C10" s="3" t="s">
        <v>45</v>
      </c>
      <c r="D10" s="3" t="s">
        <v>46</v>
      </c>
      <c r="E10" s="3" t="s">
        <v>15</v>
      </c>
      <c r="F10" s="3" t="s">
        <v>47</v>
      </c>
      <c r="G10" s="3" t="s">
        <v>48</v>
      </c>
      <c r="H10" s="3">
        <v>1</v>
      </c>
      <c r="I10" s="3">
        <v>3000</v>
      </c>
      <c r="J10" s="3">
        <v>3000</v>
      </c>
      <c r="K10" s="3">
        <v>1</v>
      </c>
      <c r="L10" s="3" t="s">
        <v>24</v>
      </c>
    </row>
    <row r="11" spans="1:12" x14ac:dyDescent="0.3">
      <c r="A11" s="3">
        <v>1010</v>
      </c>
      <c r="B11" s="3" t="s">
        <v>49</v>
      </c>
      <c r="C11" s="3" t="s">
        <v>50</v>
      </c>
      <c r="D11" s="3" t="s">
        <v>21</v>
      </c>
      <c r="E11" s="3" t="s">
        <v>38</v>
      </c>
      <c r="F11" s="3" t="s">
        <v>22</v>
      </c>
      <c r="G11" s="3" t="s">
        <v>23</v>
      </c>
      <c r="H11" s="3">
        <v>8</v>
      </c>
      <c r="I11" s="3">
        <v>55000</v>
      </c>
      <c r="J11" s="3">
        <v>440000</v>
      </c>
      <c r="K11" s="3">
        <v>5</v>
      </c>
      <c r="L11" s="3" t="s">
        <v>18</v>
      </c>
    </row>
    <row r="12" spans="1:12" x14ac:dyDescent="0.3">
      <c r="A12" s="3">
        <v>1011</v>
      </c>
      <c r="B12" s="3" t="s">
        <v>51</v>
      </c>
      <c r="C12" s="3" t="s">
        <v>52</v>
      </c>
      <c r="D12" s="3" t="s">
        <v>46</v>
      </c>
      <c r="E12" s="3" t="s">
        <v>38</v>
      </c>
      <c r="F12" s="3" t="s">
        <v>34</v>
      </c>
      <c r="G12" s="3" t="s">
        <v>53</v>
      </c>
      <c r="H12" s="3">
        <v>5</v>
      </c>
      <c r="I12" s="3">
        <v>1200</v>
      </c>
      <c r="J12" s="3">
        <v>6000</v>
      </c>
      <c r="K12" s="3">
        <v>7</v>
      </c>
      <c r="L12" s="3" t="s">
        <v>18</v>
      </c>
    </row>
    <row r="13" spans="1:12" x14ac:dyDescent="0.3">
      <c r="A13" s="3">
        <v>1012</v>
      </c>
      <c r="B13" s="3" t="s">
        <v>54</v>
      </c>
      <c r="C13" s="3" t="s">
        <v>55</v>
      </c>
      <c r="D13" s="3" t="s">
        <v>46</v>
      </c>
      <c r="E13" s="3" t="s">
        <v>30</v>
      </c>
      <c r="F13" s="3" t="s">
        <v>22</v>
      </c>
      <c r="G13" s="3" t="s">
        <v>27</v>
      </c>
      <c r="H13" s="3">
        <v>8</v>
      </c>
      <c r="I13" s="3">
        <v>2500</v>
      </c>
      <c r="J13" s="3">
        <v>20000</v>
      </c>
      <c r="K13" s="3">
        <v>6</v>
      </c>
      <c r="L13" s="3" t="s">
        <v>18</v>
      </c>
    </row>
    <row r="14" spans="1:12" x14ac:dyDescent="0.3">
      <c r="A14" s="3">
        <v>1013</v>
      </c>
      <c r="B14" s="3" t="s">
        <v>56</v>
      </c>
      <c r="C14" s="3" t="s">
        <v>57</v>
      </c>
      <c r="D14" s="3" t="s">
        <v>33</v>
      </c>
      <c r="E14" s="3" t="s">
        <v>38</v>
      </c>
      <c r="F14" s="3" t="s">
        <v>34</v>
      </c>
      <c r="G14" s="3" t="s">
        <v>53</v>
      </c>
      <c r="H14" s="3">
        <v>3</v>
      </c>
      <c r="I14" s="3">
        <v>1200</v>
      </c>
      <c r="J14" s="3">
        <v>3600</v>
      </c>
      <c r="K14" s="3">
        <v>4</v>
      </c>
      <c r="L14" s="3" t="s">
        <v>24</v>
      </c>
    </row>
    <row r="15" spans="1:12" x14ac:dyDescent="0.3">
      <c r="A15" s="3">
        <v>1014</v>
      </c>
      <c r="B15" s="3" t="s">
        <v>58</v>
      </c>
      <c r="C15" s="3" t="s">
        <v>59</v>
      </c>
      <c r="D15" s="3" t="s">
        <v>21</v>
      </c>
      <c r="E15" s="3" t="s">
        <v>30</v>
      </c>
      <c r="F15" s="3" t="s">
        <v>47</v>
      </c>
      <c r="G15" s="3" t="s">
        <v>60</v>
      </c>
      <c r="H15" s="3">
        <v>6</v>
      </c>
      <c r="I15" s="3">
        <v>4500</v>
      </c>
      <c r="J15" s="3">
        <v>27000</v>
      </c>
      <c r="K15" s="3">
        <v>7</v>
      </c>
      <c r="L15" s="3" t="s">
        <v>18</v>
      </c>
    </row>
    <row r="16" spans="1:12" x14ac:dyDescent="0.3">
      <c r="A16" s="3">
        <v>1015</v>
      </c>
      <c r="B16" s="3" t="s">
        <v>61</v>
      </c>
      <c r="C16" s="3" t="s">
        <v>62</v>
      </c>
      <c r="D16" s="3" t="s">
        <v>33</v>
      </c>
      <c r="E16" s="3" t="s">
        <v>30</v>
      </c>
      <c r="F16" s="3" t="s">
        <v>22</v>
      </c>
      <c r="G16" s="3" t="s">
        <v>63</v>
      </c>
      <c r="H16" s="3">
        <v>4</v>
      </c>
      <c r="I16" s="3">
        <v>18000</v>
      </c>
      <c r="J16" s="3">
        <v>72000</v>
      </c>
      <c r="K16" s="3">
        <v>6</v>
      </c>
      <c r="L16" s="3" t="s">
        <v>18</v>
      </c>
    </row>
    <row r="17" spans="1:12" x14ac:dyDescent="0.3">
      <c r="A17" s="3">
        <v>1016</v>
      </c>
      <c r="B17" s="3" t="s">
        <v>64</v>
      </c>
      <c r="C17" s="3" t="s">
        <v>65</v>
      </c>
      <c r="D17" s="3" t="s">
        <v>46</v>
      </c>
      <c r="E17" s="3" t="s">
        <v>30</v>
      </c>
      <c r="F17" s="3" t="s">
        <v>22</v>
      </c>
      <c r="G17" s="3" t="s">
        <v>63</v>
      </c>
      <c r="H17" s="3">
        <v>2</v>
      </c>
      <c r="I17" s="3">
        <v>18000</v>
      </c>
      <c r="J17" s="3">
        <v>36000</v>
      </c>
      <c r="K17" s="3">
        <v>2</v>
      </c>
      <c r="L17" s="3" t="s">
        <v>24</v>
      </c>
    </row>
    <row r="18" spans="1:12" x14ac:dyDescent="0.3">
      <c r="A18" s="3">
        <v>1017</v>
      </c>
      <c r="B18" s="3" t="s">
        <v>66</v>
      </c>
      <c r="C18" s="3" t="s">
        <v>67</v>
      </c>
      <c r="D18" s="3" t="s">
        <v>21</v>
      </c>
      <c r="E18" s="3" t="s">
        <v>38</v>
      </c>
      <c r="F18" s="3" t="s">
        <v>22</v>
      </c>
      <c r="G18" s="3" t="s">
        <v>27</v>
      </c>
      <c r="H18" s="3">
        <v>6</v>
      </c>
      <c r="I18" s="3">
        <v>2500</v>
      </c>
      <c r="J18" s="3">
        <v>15000</v>
      </c>
      <c r="K18" s="3">
        <v>7</v>
      </c>
      <c r="L18" s="3" t="s">
        <v>18</v>
      </c>
    </row>
    <row r="19" spans="1:12" x14ac:dyDescent="0.3">
      <c r="A19" s="3">
        <v>1018</v>
      </c>
      <c r="B19" s="3" t="s">
        <v>68</v>
      </c>
      <c r="C19" s="3" t="s">
        <v>69</v>
      </c>
      <c r="D19" s="3" t="s">
        <v>14</v>
      </c>
      <c r="E19" s="3" t="s">
        <v>30</v>
      </c>
      <c r="F19" s="3" t="s">
        <v>47</v>
      </c>
      <c r="G19" s="3" t="s">
        <v>70</v>
      </c>
      <c r="H19" s="3">
        <v>3</v>
      </c>
      <c r="I19" s="3">
        <v>1200</v>
      </c>
      <c r="J19" s="3">
        <v>3600</v>
      </c>
      <c r="K19" s="3">
        <v>8</v>
      </c>
      <c r="L19" s="3" t="s">
        <v>18</v>
      </c>
    </row>
    <row r="20" spans="1:12" x14ac:dyDescent="0.3">
      <c r="A20" s="3">
        <v>1019</v>
      </c>
      <c r="B20" s="3" t="s">
        <v>71</v>
      </c>
      <c r="C20" s="3" t="s">
        <v>72</v>
      </c>
      <c r="D20" s="3" t="s">
        <v>46</v>
      </c>
      <c r="E20" s="3" t="s">
        <v>15</v>
      </c>
      <c r="F20" s="3" t="s">
        <v>16</v>
      </c>
      <c r="G20" s="3" t="s">
        <v>39</v>
      </c>
      <c r="H20" s="3">
        <v>6</v>
      </c>
      <c r="I20" s="3">
        <v>3500</v>
      </c>
      <c r="J20" s="3">
        <v>21000</v>
      </c>
      <c r="K20" s="3">
        <v>3</v>
      </c>
      <c r="L20" s="3" t="s">
        <v>24</v>
      </c>
    </row>
    <row r="21" spans="1:12" x14ac:dyDescent="0.3">
      <c r="A21" s="3">
        <v>1020</v>
      </c>
      <c r="B21" s="3" t="s">
        <v>73</v>
      </c>
      <c r="C21" s="3" t="s">
        <v>74</v>
      </c>
      <c r="D21" s="3" t="s">
        <v>33</v>
      </c>
      <c r="E21" s="3" t="s">
        <v>15</v>
      </c>
      <c r="F21" s="3" t="s">
        <v>47</v>
      </c>
      <c r="G21" s="3" t="s">
        <v>70</v>
      </c>
      <c r="H21" s="3">
        <v>5</v>
      </c>
      <c r="I21" s="3">
        <v>1200</v>
      </c>
      <c r="J21" s="3">
        <v>6000</v>
      </c>
      <c r="K21" s="3">
        <v>2</v>
      </c>
      <c r="L21" s="3" t="s">
        <v>24</v>
      </c>
    </row>
    <row r="22" spans="1:12" x14ac:dyDescent="0.3">
      <c r="A22" s="3">
        <v>1021</v>
      </c>
      <c r="B22" s="3" t="s">
        <v>75</v>
      </c>
      <c r="C22" s="3" t="s">
        <v>76</v>
      </c>
      <c r="D22" s="3" t="s">
        <v>46</v>
      </c>
      <c r="E22" s="3" t="s">
        <v>15</v>
      </c>
      <c r="F22" s="3" t="s">
        <v>47</v>
      </c>
      <c r="G22" s="3" t="s">
        <v>48</v>
      </c>
      <c r="H22" s="3">
        <v>5</v>
      </c>
      <c r="I22" s="3">
        <v>3000</v>
      </c>
      <c r="J22" s="3">
        <v>15000</v>
      </c>
      <c r="K22" s="3">
        <v>2</v>
      </c>
      <c r="L22" s="3" t="s">
        <v>24</v>
      </c>
    </row>
    <row r="23" spans="1:12" x14ac:dyDescent="0.3">
      <c r="A23" s="3">
        <v>1022</v>
      </c>
      <c r="B23" s="3" t="s">
        <v>77</v>
      </c>
      <c r="C23" s="3" t="s">
        <v>78</v>
      </c>
      <c r="D23" s="3" t="s">
        <v>14</v>
      </c>
      <c r="E23" s="3" t="s">
        <v>30</v>
      </c>
      <c r="F23" s="3" t="s">
        <v>16</v>
      </c>
      <c r="G23" s="3" t="s">
        <v>17</v>
      </c>
      <c r="H23" s="3">
        <v>6</v>
      </c>
      <c r="I23" s="3">
        <v>1500</v>
      </c>
      <c r="J23" s="3">
        <v>9000</v>
      </c>
      <c r="K23" s="3">
        <v>3</v>
      </c>
      <c r="L23" s="3" t="s">
        <v>24</v>
      </c>
    </row>
    <row r="24" spans="1:12" x14ac:dyDescent="0.3">
      <c r="A24" s="3">
        <v>1023</v>
      </c>
      <c r="B24" s="3" t="s">
        <v>79</v>
      </c>
      <c r="C24" s="3" t="s">
        <v>80</v>
      </c>
      <c r="D24" s="3" t="s">
        <v>21</v>
      </c>
      <c r="E24" s="3" t="s">
        <v>38</v>
      </c>
      <c r="F24" s="3" t="s">
        <v>47</v>
      </c>
      <c r="G24" s="3" t="s">
        <v>70</v>
      </c>
      <c r="H24" s="3">
        <v>3</v>
      </c>
      <c r="I24" s="3">
        <v>1200</v>
      </c>
      <c r="J24" s="3">
        <v>3600</v>
      </c>
      <c r="K24" s="3">
        <v>5</v>
      </c>
      <c r="L24" s="3" t="s">
        <v>18</v>
      </c>
    </row>
    <row r="25" spans="1:12" x14ac:dyDescent="0.3">
      <c r="A25" s="3">
        <v>1024</v>
      </c>
      <c r="B25" s="3" t="s">
        <v>81</v>
      </c>
      <c r="C25" s="3" t="s">
        <v>82</v>
      </c>
      <c r="D25" s="3" t="s">
        <v>46</v>
      </c>
      <c r="E25" s="3" t="s">
        <v>15</v>
      </c>
      <c r="F25" s="3" t="s">
        <v>22</v>
      </c>
      <c r="G25" s="3" t="s">
        <v>63</v>
      </c>
      <c r="H25" s="3">
        <v>10</v>
      </c>
      <c r="I25" s="3">
        <v>18000</v>
      </c>
      <c r="J25" s="3">
        <v>180000</v>
      </c>
      <c r="K25" s="3">
        <v>8</v>
      </c>
      <c r="L25" s="3" t="s">
        <v>18</v>
      </c>
    </row>
    <row r="26" spans="1:12" x14ac:dyDescent="0.3">
      <c r="A26" s="3">
        <v>1025</v>
      </c>
      <c r="B26" s="3" t="s">
        <v>83</v>
      </c>
      <c r="C26" s="3" t="s">
        <v>84</v>
      </c>
      <c r="D26" s="3" t="s">
        <v>33</v>
      </c>
      <c r="E26" s="3" t="s">
        <v>30</v>
      </c>
      <c r="F26" s="3" t="s">
        <v>47</v>
      </c>
      <c r="G26" s="3" t="s">
        <v>60</v>
      </c>
      <c r="H26" s="3">
        <v>3</v>
      </c>
      <c r="I26" s="3">
        <v>4500</v>
      </c>
      <c r="J26" s="3">
        <v>13500</v>
      </c>
      <c r="K26" s="3">
        <v>1</v>
      </c>
      <c r="L26" s="3" t="s">
        <v>24</v>
      </c>
    </row>
    <row r="27" spans="1:12" x14ac:dyDescent="0.3">
      <c r="A27" s="3">
        <v>1026</v>
      </c>
      <c r="B27" s="3" t="s">
        <v>85</v>
      </c>
      <c r="C27" s="3" t="s">
        <v>86</v>
      </c>
      <c r="D27" s="3" t="s">
        <v>21</v>
      </c>
      <c r="E27" s="3" t="s">
        <v>38</v>
      </c>
      <c r="F27" s="3" t="s">
        <v>16</v>
      </c>
      <c r="G27" s="3" t="s">
        <v>87</v>
      </c>
      <c r="H27" s="3">
        <v>4</v>
      </c>
      <c r="I27" s="3">
        <v>6500</v>
      </c>
      <c r="J27" s="3">
        <v>26000</v>
      </c>
      <c r="K27" s="3">
        <v>2</v>
      </c>
      <c r="L27" s="3" t="s">
        <v>24</v>
      </c>
    </row>
    <row r="28" spans="1:12" x14ac:dyDescent="0.3">
      <c r="A28" s="3">
        <v>1027</v>
      </c>
      <c r="B28" s="3" t="s">
        <v>88</v>
      </c>
      <c r="C28" s="3" t="s">
        <v>89</v>
      </c>
      <c r="D28" s="3" t="s">
        <v>14</v>
      </c>
      <c r="E28" s="3" t="s">
        <v>38</v>
      </c>
      <c r="F28" s="3" t="s">
        <v>34</v>
      </c>
      <c r="G28" s="3" t="s">
        <v>53</v>
      </c>
      <c r="H28" s="3">
        <v>9</v>
      </c>
      <c r="I28" s="3">
        <v>1200</v>
      </c>
      <c r="J28" s="3">
        <v>10800</v>
      </c>
      <c r="K28" s="3">
        <v>4</v>
      </c>
      <c r="L28" s="3" t="s">
        <v>24</v>
      </c>
    </row>
    <row r="29" spans="1:12" x14ac:dyDescent="0.3">
      <c r="A29" s="3">
        <v>1028</v>
      </c>
      <c r="B29" s="3" t="s">
        <v>90</v>
      </c>
      <c r="C29" s="3" t="s">
        <v>91</v>
      </c>
      <c r="D29" s="3" t="s">
        <v>46</v>
      </c>
      <c r="E29" s="3" t="s">
        <v>15</v>
      </c>
      <c r="F29" s="3" t="s">
        <v>34</v>
      </c>
      <c r="G29" s="3" t="s">
        <v>92</v>
      </c>
      <c r="H29" s="3">
        <v>10</v>
      </c>
      <c r="I29" s="3">
        <v>1800</v>
      </c>
      <c r="J29" s="3">
        <v>18000</v>
      </c>
      <c r="K29" s="3">
        <v>7</v>
      </c>
      <c r="L29" s="3" t="s">
        <v>18</v>
      </c>
    </row>
    <row r="30" spans="1:12" x14ac:dyDescent="0.3">
      <c r="A30" s="3">
        <v>1029</v>
      </c>
      <c r="B30" s="3" t="s">
        <v>93</v>
      </c>
      <c r="C30" s="3" t="s">
        <v>94</v>
      </c>
      <c r="D30" s="3" t="s">
        <v>21</v>
      </c>
      <c r="E30" s="3" t="s">
        <v>38</v>
      </c>
      <c r="F30" s="3" t="s">
        <v>22</v>
      </c>
      <c r="G30" s="3" t="s">
        <v>23</v>
      </c>
      <c r="H30" s="3">
        <v>4</v>
      </c>
      <c r="I30" s="3">
        <v>55000</v>
      </c>
      <c r="J30" s="3">
        <v>220000</v>
      </c>
      <c r="K30" s="3">
        <v>8</v>
      </c>
      <c r="L30" s="3" t="s">
        <v>18</v>
      </c>
    </row>
    <row r="31" spans="1:12" x14ac:dyDescent="0.3">
      <c r="A31" s="3">
        <v>1030</v>
      </c>
      <c r="B31" s="3" t="s">
        <v>95</v>
      </c>
      <c r="C31" s="3" t="s">
        <v>96</v>
      </c>
      <c r="D31" s="3" t="s">
        <v>46</v>
      </c>
      <c r="E31" s="3" t="s">
        <v>38</v>
      </c>
      <c r="F31" s="3" t="s">
        <v>47</v>
      </c>
      <c r="G31" s="3" t="s">
        <v>70</v>
      </c>
      <c r="H31" s="3">
        <v>8</v>
      </c>
      <c r="I31" s="3">
        <v>1200</v>
      </c>
      <c r="J31" s="3">
        <v>9600</v>
      </c>
      <c r="K31" s="3">
        <v>8</v>
      </c>
      <c r="L31" s="3" t="s">
        <v>18</v>
      </c>
    </row>
    <row r="32" spans="1:12" x14ac:dyDescent="0.3">
      <c r="A32" s="3">
        <v>1031</v>
      </c>
      <c r="B32" s="3" t="s">
        <v>54</v>
      </c>
      <c r="C32" s="3" t="s">
        <v>97</v>
      </c>
      <c r="D32" s="3" t="s">
        <v>33</v>
      </c>
      <c r="E32" s="3" t="s">
        <v>38</v>
      </c>
      <c r="F32" s="3" t="s">
        <v>16</v>
      </c>
      <c r="G32" s="3" t="s">
        <v>17</v>
      </c>
      <c r="H32" s="3">
        <v>9</v>
      </c>
      <c r="I32" s="3">
        <v>1500</v>
      </c>
      <c r="J32" s="3">
        <v>13500</v>
      </c>
      <c r="K32" s="3">
        <v>4</v>
      </c>
      <c r="L32" s="3" t="s">
        <v>24</v>
      </c>
    </row>
    <row r="33" spans="1:12" x14ac:dyDescent="0.3">
      <c r="A33" s="3">
        <v>1032</v>
      </c>
      <c r="B33" s="3" t="s">
        <v>98</v>
      </c>
      <c r="C33" s="3" t="s">
        <v>99</v>
      </c>
      <c r="D33" s="3" t="s">
        <v>33</v>
      </c>
      <c r="E33" s="3" t="s">
        <v>38</v>
      </c>
      <c r="F33" s="3" t="s">
        <v>47</v>
      </c>
      <c r="G33" s="3" t="s">
        <v>48</v>
      </c>
      <c r="H33" s="3">
        <v>6</v>
      </c>
      <c r="I33" s="3">
        <v>3000</v>
      </c>
      <c r="J33" s="3">
        <v>18000</v>
      </c>
      <c r="K33" s="3">
        <v>2</v>
      </c>
      <c r="L33" s="3" t="s">
        <v>24</v>
      </c>
    </row>
    <row r="34" spans="1:12" x14ac:dyDescent="0.3">
      <c r="A34" s="3">
        <v>1033</v>
      </c>
      <c r="B34" s="3" t="s">
        <v>100</v>
      </c>
      <c r="C34" s="3" t="s">
        <v>101</v>
      </c>
      <c r="D34" s="3" t="s">
        <v>14</v>
      </c>
      <c r="E34" s="3" t="s">
        <v>38</v>
      </c>
      <c r="F34" s="3" t="s">
        <v>34</v>
      </c>
      <c r="G34" s="3" t="s">
        <v>53</v>
      </c>
      <c r="H34" s="3">
        <v>1</v>
      </c>
      <c r="I34" s="3">
        <v>1200</v>
      </c>
      <c r="J34" s="3">
        <v>1200</v>
      </c>
      <c r="K34" s="3">
        <v>1</v>
      </c>
      <c r="L34" s="3" t="s">
        <v>24</v>
      </c>
    </row>
    <row r="35" spans="1:12" x14ac:dyDescent="0.3">
      <c r="A35" s="3">
        <v>1034</v>
      </c>
      <c r="B35" s="3" t="s">
        <v>102</v>
      </c>
      <c r="C35" s="3" t="s">
        <v>103</v>
      </c>
      <c r="D35" s="3" t="s">
        <v>33</v>
      </c>
      <c r="E35" s="3" t="s">
        <v>15</v>
      </c>
      <c r="F35" s="3" t="s">
        <v>34</v>
      </c>
      <c r="G35" s="3" t="s">
        <v>35</v>
      </c>
      <c r="H35" s="3">
        <v>9</v>
      </c>
      <c r="I35" s="3">
        <v>600</v>
      </c>
      <c r="J35" s="3">
        <v>5400</v>
      </c>
      <c r="K35" s="3">
        <v>6</v>
      </c>
      <c r="L35" s="3" t="s">
        <v>18</v>
      </c>
    </row>
    <row r="36" spans="1:12" x14ac:dyDescent="0.3">
      <c r="A36" s="3">
        <v>1035</v>
      </c>
      <c r="B36" s="3" t="s">
        <v>104</v>
      </c>
      <c r="C36" s="3" t="s">
        <v>105</v>
      </c>
      <c r="D36" s="3" t="s">
        <v>14</v>
      </c>
      <c r="E36" s="3" t="s">
        <v>15</v>
      </c>
      <c r="F36" s="3" t="s">
        <v>22</v>
      </c>
      <c r="G36" s="3" t="s">
        <v>27</v>
      </c>
      <c r="H36" s="3">
        <v>10</v>
      </c>
      <c r="I36" s="3">
        <v>2500</v>
      </c>
      <c r="J36" s="3">
        <v>25000</v>
      </c>
      <c r="K36" s="3">
        <v>1</v>
      </c>
      <c r="L36" s="3" t="s">
        <v>24</v>
      </c>
    </row>
    <row r="37" spans="1:12" x14ac:dyDescent="0.3">
      <c r="A37" s="3">
        <v>1036</v>
      </c>
      <c r="B37" s="3" t="s">
        <v>106</v>
      </c>
      <c r="C37" s="3" t="s">
        <v>107</v>
      </c>
      <c r="D37" s="3" t="s">
        <v>14</v>
      </c>
      <c r="E37" s="3" t="s">
        <v>15</v>
      </c>
      <c r="F37" s="3" t="s">
        <v>34</v>
      </c>
      <c r="G37" s="3" t="s">
        <v>92</v>
      </c>
      <c r="H37" s="3">
        <v>5</v>
      </c>
      <c r="I37" s="3">
        <v>1800</v>
      </c>
      <c r="J37" s="3">
        <v>9000</v>
      </c>
      <c r="K37" s="3">
        <v>2</v>
      </c>
      <c r="L37" s="3" t="s">
        <v>24</v>
      </c>
    </row>
    <row r="38" spans="1:12" x14ac:dyDescent="0.3">
      <c r="A38" s="3">
        <v>1037</v>
      </c>
      <c r="B38" s="3" t="s">
        <v>42</v>
      </c>
      <c r="C38" s="3" t="s">
        <v>108</v>
      </c>
      <c r="D38" s="3" t="s">
        <v>14</v>
      </c>
      <c r="E38" s="3" t="s">
        <v>38</v>
      </c>
      <c r="F38" s="3" t="s">
        <v>34</v>
      </c>
      <c r="G38" s="3" t="s">
        <v>53</v>
      </c>
      <c r="H38" s="3">
        <v>5</v>
      </c>
      <c r="I38" s="3">
        <v>1200</v>
      </c>
      <c r="J38" s="3">
        <v>6000</v>
      </c>
      <c r="K38" s="3">
        <v>5</v>
      </c>
      <c r="L38" s="3" t="s">
        <v>18</v>
      </c>
    </row>
    <row r="39" spans="1:12" x14ac:dyDescent="0.3">
      <c r="A39" s="3">
        <v>1038</v>
      </c>
      <c r="B39" s="3" t="s">
        <v>102</v>
      </c>
      <c r="C39" s="3" t="s">
        <v>109</v>
      </c>
      <c r="D39" s="3" t="s">
        <v>33</v>
      </c>
      <c r="E39" s="3" t="s">
        <v>15</v>
      </c>
      <c r="F39" s="3" t="s">
        <v>47</v>
      </c>
      <c r="G39" s="3" t="s">
        <v>70</v>
      </c>
      <c r="H39" s="3">
        <v>5</v>
      </c>
      <c r="I39" s="3">
        <v>1200</v>
      </c>
      <c r="J39" s="3">
        <v>6000</v>
      </c>
      <c r="K39" s="3">
        <v>8</v>
      </c>
      <c r="L39" s="3" t="s">
        <v>18</v>
      </c>
    </row>
    <row r="40" spans="1:12" x14ac:dyDescent="0.3">
      <c r="A40" s="3">
        <v>1039</v>
      </c>
      <c r="B40" s="3" t="s">
        <v>110</v>
      </c>
      <c r="C40" s="3" t="s">
        <v>111</v>
      </c>
      <c r="D40" s="3" t="s">
        <v>33</v>
      </c>
      <c r="E40" s="3" t="s">
        <v>30</v>
      </c>
      <c r="F40" s="3" t="s">
        <v>34</v>
      </c>
      <c r="G40" s="3" t="s">
        <v>35</v>
      </c>
      <c r="H40" s="3">
        <v>9</v>
      </c>
      <c r="I40" s="3">
        <v>600</v>
      </c>
      <c r="J40" s="3">
        <v>5400</v>
      </c>
      <c r="K40" s="3">
        <v>8</v>
      </c>
      <c r="L40" s="3" t="s">
        <v>18</v>
      </c>
    </row>
    <row r="41" spans="1:12" x14ac:dyDescent="0.3">
      <c r="A41" s="3">
        <v>1040</v>
      </c>
      <c r="B41" s="3" t="s">
        <v>112</v>
      </c>
      <c r="C41" s="3" t="s">
        <v>113</v>
      </c>
      <c r="D41" s="3" t="s">
        <v>21</v>
      </c>
      <c r="E41" s="3" t="s">
        <v>30</v>
      </c>
      <c r="F41" s="3" t="s">
        <v>16</v>
      </c>
      <c r="G41" s="3" t="s">
        <v>39</v>
      </c>
      <c r="H41" s="3">
        <v>7</v>
      </c>
      <c r="I41" s="3">
        <v>3500</v>
      </c>
      <c r="J41" s="3">
        <v>24500</v>
      </c>
      <c r="K41" s="3">
        <v>4</v>
      </c>
      <c r="L41" s="3" t="s">
        <v>24</v>
      </c>
    </row>
    <row r="42" spans="1:12" x14ac:dyDescent="0.3">
      <c r="A42" s="3">
        <v>1041</v>
      </c>
      <c r="B42" s="3" t="s">
        <v>114</v>
      </c>
      <c r="C42" s="3" t="s">
        <v>115</v>
      </c>
      <c r="D42" s="3" t="s">
        <v>33</v>
      </c>
      <c r="E42" s="3" t="s">
        <v>15</v>
      </c>
      <c r="F42" s="3" t="s">
        <v>47</v>
      </c>
      <c r="G42" s="3" t="s">
        <v>70</v>
      </c>
      <c r="H42" s="3">
        <v>10</v>
      </c>
      <c r="I42" s="3">
        <v>1200</v>
      </c>
      <c r="J42" s="3">
        <v>12000</v>
      </c>
      <c r="K42" s="3">
        <v>8</v>
      </c>
      <c r="L42" s="3" t="s">
        <v>18</v>
      </c>
    </row>
    <row r="43" spans="1:12" x14ac:dyDescent="0.3">
      <c r="A43" s="3">
        <v>1042</v>
      </c>
      <c r="B43" s="3" t="s">
        <v>116</v>
      </c>
      <c r="C43" s="3" t="s">
        <v>117</v>
      </c>
      <c r="D43" s="3" t="s">
        <v>14</v>
      </c>
      <c r="E43" s="3" t="s">
        <v>30</v>
      </c>
      <c r="F43" s="3" t="s">
        <v>47</v>
      </c>
      <c r="G43" s="3" t="s">
        <v>70</v>
      </c>
      <c r="H43" s="3">
        <v>3</v>
      </c>
      <c r="I43" s="3">
        <v>1200</v>
      </c>
      <c r="J43" s="3">
        <v>3600</v>
      </c>
      <c r="K43" s="3">
        <v>5</v>
      </c>
      <c r="L43" s="3" t="s">
        <v>18</v>
      </c>
    </row>
    <row r="44" spans="1:12" x14ac:dyDescent="0.3">
      <c r="A44" s="3">
        <v>1043</v>
      </c>
      <c r="B44" s="3" t="s">
        <v>118</v>
      </c>
      <c r="C44" s="3" t="s">
        <v>119</v>
      </c>
      <c r="D44" s="3" t="s">
        <v>21</v>
      </c>
      <c r="E44" s="3" t="s">
        <v>30</v>
      </c>
      <c r="F44" s="3" t="s">
        <v>16</v>
      </c>
      <c r="G44" s="3" t="s">
        <v>17</v>
      </c>
      <c r="H44" s="3">
        <v>3</v>
      </c>
      <c r="I44" s="3">
        <v>1500</v>
      </c>
      <c r="J44" s="3">
        <v>4500</v>
      </c>
      <c r="K44" s="3">
        <v>1</v>
      </c>
      <c r="L44" s="3" t="s">
        <v>24</v>
      </c>
    </row>
    <row r="45" spans="1:12" x14ac:dyDescent="0.3">
      <c r="A45" s="3">
        <v>1044</v>
      </c>
      <c r="B45" s="3" t="s">
        <v>120</v>
      </c>
      <c r="C45" s="3" t="s">
        <v>121</v>
      </c>
      <c r="D45" s="3" t="s">
        <v>21</v>
      </c>
      <c r="E45" s="3" t="s">
        <v>38</v>
      </c>
      <c r="F45" s="3" t="s">
        <v>22</v>
      </c>
      <c r="G45" s="3" t="s">
        <v>27</v>
      </c>
      <c r="H45" s="3">
        <v>7</v>
      </c>
      <c r="I45" s="3">
        <v>2500</v>
      </c>
      <c r="J45" s="3">
        <v>17500</v>
      </c>
      <c r="K45" s="3">
        <v>1</v>
      </c>
      <c r="L45" s="3" t="s">
        <v>24</v>
      </c>
    </row>
    <row r="46" spans="1:12" x14ac:dyDescent="0.3">
      <c r="A46" s="3">
        <v>1045</v>
      </c>
      <c r="B46" s="3" t="s">
        <v>122</v>
      </c>
      <c r="C46" s="3" t="s">
        <v>123</v>
      </c>
      <c r="D46" s="3" t="s">
        <v>21</v>
      </c>
      <c r="E46" s="3" t="s">
        <v>15</v>
      </c>
      <c r="F46" s="3" t="s">
        <v>34</v>
      </c>
      <c r="G46" s="3" t="s">
        <v>35</v>
      </c>
      <c r="H46" s="3">
        <v>8</v>
      </c>
      <c r="I46" s="3">
        <v>600</v>
      </c>
      <c r="J46" s="3">
        <v>4800</v>
      </c>
      <c r="K46" s="3">
        <v>8</v>
      </c>
      <c r="L46" s="3" t="s">
        <v>18</v>
      </c>
    </row>
    <row r="47" spans="1:12" x14ac:dyDescent="0.3">
      <c r="A47" s="3">
        <v>1046</v>
      </c>
      <c r="B47" s="3" t="s">
        <v>124</v>
      </c>
      <c r="C47" s="3" t="s">
        <v>125</v>
      </c>
      <c r="D47" s="3" t="s">
        <v>33</v>
      </c>
      <c r="E47" s="3" t="s">
        <v>30</v>
      </c>
      <c r="F47" s="3" t="s">
        <v>47</v>
      </c>
      <c r="G47" s="3" t="s">
        <v>48</v>
      </c>
      <c r="H47" s="3">
        <v>3</v>
      </c>
      <c r="I47" s="3">
        <v>3000</v>
      </c>
      <c r="J47" s="3">
        <v>9000</v>
      </c>
      <c r="K47" s="3">
        <v>2</v>
      </c>
      <c r="L47" s="3" t="s">
        <v>24</v>
      </c>
    </row>
    <row r="48" spans="1:12" x14ac:dyDescent="0.3">
      <c r="A48" s="3">
        <v>1047</v>
      </c>
      <c r="B48" s="3" t="s">
        <v>68</v>
      </c>
      <c r="C48" s="3" t="s">
        <v>126</v>
      </c>
      <c r="D48" s="3" t="s">
        <v>33</v>
      </c>
      <c r="E48" s="3" t="s">
        <v>38</v>
      </c>
      <c r="F48" s="3" t="s">
        <v>22</v>
      </c>
      <c r="G48" s="3" t="s">
        <v>27</v>
      </c>
      <c r="H48" s="3">
        <v>5</v>
      </c>
      <c r="I48" s="3">
        <v>2500</v>
      </c>
      <c r="J48" s="3">
        <v>12500</v>
      </c>
      <c r="K48" s="3">
        <v>8</v>
      </c>
      <c r="L48" s="3" t="s">
        <v>18</v>
      </c>
    </row>
    <row r="49" spans="1:12" x14ac:dyDescent="0.3">
      <c r="A49" s="3">
        <v>1048</v>
      </c>
      <c r="B49" s="3" t="s">
        <v>127</v>
      </c>
      <c r="C49" s="3" t="s">
        <v>128</v>
      </c>
      <c r="D49" s="3" t="s">
        <v>21</v>
      </c>
      <c r="E49" s="3" t="s">
        <v>15</v>
      </c>
      <c r="F49" s="3" t="s">
        <v>16</v>
      </c>
      <c r="G49" s="3" t="s">
        <v>87</v>
      </c>
      <c r="H49" s="3">
        <v>7</v>
      </c>
      <c r="I49" s="3">
        <v>6500</v>
      </c>
      <c r="J49" s="3">
        <v>45500</v>
      </c>
      <c r="K49" s="3">
        <v>5</v>
      </c>
      <c r="L49" s="3" t="s">
        <v>18</v>
      </c>
    </row>
    <row r="50" spans="1:12" x14ac:dyDescent="0.3">
      <c r="A50" s="3">
        <v>1049</v>
      </c>
      <c r="B50" s="3" t="s">
        <v>129</v>
      </c>
      <c r="C50" s="3" t="s">
        <v>130</v>
      </c>
      <c r="D50" s="3" t="s">
        <v>33</v>
      </c>
      <c r="E50" s="3" t="s">
        <v>30</v>
      </c>
      <c r="F50" s="3" t="s">
        <v>34</v>
      </c>
      <c r="G50" s="3" t="s">
        <v>53</v>
      </c>
      <c r="H50" s="3">
        <v>8</v>
      </c>
      <c r="I50" s="3">
        <v>1200</v>
      </c>
      <c r="J50" s="3">
        <v>9600</v>
      </c>
      <c r="K50" s="3">
        <v>8</v>
      </c>
      <c r="L50" s="3" t="s">
        <v>18</v>
      </c>
    </row>
    <row r="51" spans="1:12" x14ac:dyDescent="0.3">
      <c r="A51" s="3">
        <v>1050</v>
      </c>
      <c r="B51" s="3" t="s">
        <v>49</v>
      </c>
      <c r="C51" s="3" t="s">
        <v>131</v>
      </c>
      <c r="D51" s="3" t="s">
        <v>21</v>
      </c>
      <c r="E51" s="3" t="s">
        <v>30</v>
      </c>
      <c r="F51" s="3" t="s">
        <v>22</v>
      </c>
      <c r="G51" s="3" t="s">
        <v>63</v>
      </c>
      <c r="H51" s="3">
        <v>4</v>
      </c>
      <c r="I51" s="3">
        <v>18000</v>
      </c>
      <c r="J51" s="3">
        <v>72000</v>
      </c>
      <c r="K51" s="3">
        <v>3</v>
      </c>
      <c r="L51" s="3" t="s">
        <v>24</v>
      </c>
    </row>
    <row r="52" spans="1:12" x14ac:dyDescent="0.3">
      <c r="A52" s="3">
        <v>1051</v>
      </c>
      <c r="B52" s="3" t="s">
        <v>132</v>
      </c>
      <c r="C52" s="3" t="s">
        <v>133</v>
      </c>
      <c r="D52" s="3" t="s">
        <v>14</v>
      </c>
      <c r="E52" s="3" t="s">
        <v>38</v>
      </c>
      <c r="F52" s="3" t="s">
        <v>47</v>
      </c>
      <c r="G52" s="3" t="s">
        <v>60</v>
      </c>
      <c r="H52" s="3">
        <v>7</v>
      </c>
      <c r="I52" s="3">
        <v>4500</v>
      </c>
      <c r="J52" s="3">
        <v>31500</v>
      </c>
      <c r="K52" s="3">
        <v>1</v>
      </c>
      <c r="L52" s="3" t="s">
        <v>24</v>
      </c>
    </row>
    <row r="53" spans="1:12" x14ac:dyDescent="0.3">
      <c r="A53" s="3">
        <v>1052</v>
      </c>
      <c r="B53" s="3" t="s">
        <v>134</v>
      </c>
      <c r="C53" s="3" t="s">
        <v>135</v>
      </c>
      <c r="D53" s="3" t="s">
        <v>21</v>
      </c>
      <c r="E53" s="3" t="s">
        <v>38</v>
      </c>
      <c r="F53" s="3" t="s">
        <v>47</v>
      </c>
      <c r="G53" s="3" t="s">
        <v>70</v>
      </c>
      <c r="H53" s="3">
        <v>2</v>
      </c>
      <c r="I53" s="3">
        <v>1200</v>
      </c>
      <c r="J53" s="3">
        <v>2400</v>
      </c>
      <c r="K53" s="3">
        <v>5</v>
      </c>
      <c r="L53" s="3" t="s">
        <v>18</v>
      </c>
    </row>
    <row r="54" spans="1:12" x14ac:dyDescent="0.3">
      <c r="A54" s="3">
        <v>1053</v>
      </c>
      <c r="B54" s="3" t="s">
        <v>136</v>
      </c>
      <c r="C54" s="3" t="s">
        <v>137</v>
      </c>
      <c r="D54" s="3" t="s">
        <v>14</v>
      </c>
      <c r="E54" s="3" t="s">
        <v>15</v>
      </c>
      <c r="F54" s="3" t="s">
        <v>16</v>
      </c>
      <c r="G54" s="3" t="s">
        <v>17</v>
      </c>
      <c r="H54" s="3">
        <v>8</v>
      </c>
      <c r="I54" s="3">
        <v>1500</v>
      </c>
      <c r="J54" s="3">
        <v>12000</v>
      </c>
      <c r="K54" s="3">
        <v>7</v>
      </c>
      <c r="L54" s="3" t="s">
        <v>18</v>
      </c>
    </row>
    <row r="55" spans="1:12" x14ac:dyDescent="0.3">
      <c r="A55" s="3">
        <v>1054</v>
      </c>
      <c r="B55" s="3" t="s">
        <v>138</v>
      </c>
      <c r="C55" s="3" t="s">
        <v>139</v>
      </c>
      <c r="D55" s="3" t="s">
        <v>14</v>
      </c>
      <c r="E55" s="3" t="s">
        <v>38</v>
      </c>
      <c r="F55" s="3" t="s">
        <v>34</v>
      </c>
      <c r="G55" s="3" t="s">
        <v>35</v>
      </c>
      <c r="H55" s="3">
        <v>9</v>
      </c>
      <c r="I55" s="3">
        <v>600</v>
      </c>
      <c r="J55" s="3">
        <v>5400</v>
      </c>
      <c r="K55" s="3">
        <v>5</v>
      </c>
      <c r="L55" s="3" t="s">
        <v>18</v>
      </c>
    </row>
    <row r="56" spans="1:12" x14ac:dyDescent="0.3">
      <c r="A56" s="3">
        <v>1055</v>
      </c>
      <c r="B56" s="3" t="s">
        <v>140</v>
      </c>
      <c r="C56" s="3" t="s">
        <v>141</v>
      </c>
      <c r="D56" s="3" t="s">
        <v>46</v>
      </c>
      <c r="E56" s="3" t="s">
        <v>15</v>
      </c>
      <c r="F56" s="3" t="s">
        <v>34</v>
      </c>
      <c r="G56" s="3" t="s">
        <v>35</v>
      </c>
      <c r="H56" s="3">
        <v>10</v>
      </c>
      <c r="I56" s="3">
        <v>600</v>
      </c>
      <c r="J56" s="3">
        <v>6000</v>
      </c>
      <c r="K56" s="3">
        <v>1</v>
      </c>
      <c r="L56" s="3" t="s">
        <v>24</v>
      </c>
    </row>
    <row r="57" spans="1:12" x14ac:dyDescent="0.3">
      <c r="A57" s="3">
        <v>1056</v>
      </c>
      <c r="B57" s="3" t="s">
        <v>142</v>
      </c>
      <c r="C57" s="3" t="s">
        <v>143</v>
      </c>
      <c r="D57" s="3" t="s">
        <v>21</v>
      </c>
      <c r="E57" s="3" t="s">
        <v>15</v>
      </c>
      <c r="F57" s="3" t="s">
        <v>47</v>
      </c>
      <c r="G57" s="3" t="s">
        <v>70</v>
      </c>
      <c r="H57" s="3">
        <v>6</v>
      </c>
      <c r="I57" s="3">
        <v>1200</v>
      </c>
      <c r="J57" s="3">
        <v>7200</v>
      </c>
      <c r="K57" s="3">
        <v>2</v>
      </c>
      <c r="L57" s="3" t="s">
        <v>24</v>
      </c>
    </row>
    <row r="58" spans="1:12" x14ac:dyDescent="0.3">
      <c r="A58" s="3">
        <v>1057</v>
      </c>
      <c r="B58" s="3" t="s">
        <v>144</v>
      </c>
      <c r="C58" s="3" t="s">
        <v>145</v>
      </c>
      <c r="D58" s="3" t="s">
        <v>14</v>
      </c>
      <c r="E58" s="3" t="s">
        <v>15</v>
      </c>
      <c r="F58" s="3" t="s">
        <v>22</v>
      </c>
      <c r="G58" s="3" t="s">
        <v>63</v>
      </c>
      <c r="H58" s="3">
        <v>4</v>
      </c>
      <c r="I58" s="3">
        <v>18000</v>
      </c>
      <c r="J58" s="3">
        <v>72000</v>
      </c>
      <c r="K58" s="3">
        <v>3</v>
      </c>
      <c r="L58" s="3" t="s">
        <v>24</v>
      </c>
    </row>
    <row r="59" spans="1:12" x14ac:dyDescent="0.3">
      <c r="A59" s="3">
        <v>1058</v>
      </c>
      <c r="B59" s="3" t="s">
        <v>88</v>
      </c>
      <c r="C59" s="3" t="s">
        <v>146</v>
      </c>
      <c r="D59" s="3" t="s">
        <v>33</v>
      </c>
      <c r="E59" s="3" t="s">
        <v>30</v>
      </c>
      <c r="F59" s="3" t="s">
        <v>34</v>
      </c>
      <c r="G59" s="3" t="s">
        <v>92</v>
      </c>
      <c r="H59" s="3">
        <v>8</v>
      </c>
      <c r="I59" s="3">
        <v>1800</v>
      </c>
      <c r="J59" s="3">
        <v>14400</v>
      </c>
      <c r="K59" s="3">
        <v>5</v>
      </c>
      <c r="L59" s="3" t="s">
        <v>18</v>
      </c>
    </row>
    <row r="60" spans="1:12" x14ac:dyDescent="0.3">
      <c r="A60" s="3">
        <v>1059</v>
      </c>
      <c r="B60" s="3" t="s">
        <v>147</v>
      </c>
      <c r="C60" s="3" t="s">
        <v>148</v>
      </c>
      <c r="D60" s="3" t="s">
        <v>33</v>
      </c>
      <c r="E60" s="3" t="s">
        <v>30</v>
      </c>
      <c r="F60" s="3" t="s">
        <v>22</v>
      </c>
      <c r="G60" s="3" t="s">
        <v>27</v>
      </c>
      <c r="H60" s="3">
        <v>6</v>
      </c>
      <c r="I60" s="3">
        <v>2500</v>
      </c>
      <c r="J60" s="3">
        <v>15000</v>
      </c>
      <c r="K60" s="3">
        <v>8</v>
      </c>
      <c r="L60" s="3" t="s">
        <v>18</v>
      </c>
    </row>
    <row r="61" spans="1:12" x14ac:dyDescent="0.3">
      <c r="A61" s="3">
        <v>1060</v>
      </c>
      <c r="B61" s="3" t="s">
        <v>149</v>
      </c>
      <c r="C61" s="3" t="s">
        <v>150</v>
      </c>
      <c r="D61" s="3" t="s">
        <v>46</v>
      </c>
      <c r="E61" s="3" t="s">
        <v>38</v>
      </c>
      <c r="F61" s="3" t="s">
        <v>22</v>
      </c>
      <c r="G61" s="3" t="s">
        <v>27</v>
      </c>
      <c r="H61" s="3">
        <v>9</v>
      </c>
      <c r="I61" s="3">
        <v>2500</v>
      </c>
      <c r="J61" s="3">
        <v>22500</v>
      </c>
      <c r="K61" s="3">
        <v>2</v>
      </c>
      <c r="L61" s="3" t="s">
        <v>24</v>
      </c>
    </row>
    <row r="62" spans="1:12" x14ac:dyDescent="0.3">
      <c r="A62" s="3">
        <v>1061</v>
      </c>
      <c r="B62" s="3" t="s">
        <v>36</v>
      </c>
      <c r="C62" s="3" t="s">
        <v>151</v>
      </c>
      <c r="D62" s="3" t="s">
        <v>46</v>
      </c>
      <c r="E62" s="3" t="s">
        <v>15</v>
      </c>
      <c r="F62" s="3" t="s">
        <v>47</v>
      </c>
      <c r="G62" s="3" t="s">
        <v>48</v>
      </c>
      <c r="H62" s="3">
        <v>8</v>
      </c>
      <c r="I62" s="3">
        <v>3000</v>
      </c>
      <c r="J62" s="3">
        <v>24000</v>
      </c>
      <c r="K62" s="3">
        <v>2</v>
      </c>
      <c r="L62" s="3" t="s">
        <v>24</v>
      </c>
    </row>
    <row r="63" spans="1:12" x14ac:dyDescent="0.3">
      <c r="A63" s="3">
        <v>1062</v>
      </c>
      <c r="B63" s="3" t="s">
        <v>152</v>
      </c>
      <c r="C63" s="3" t="s">
        <v>153</v>
      </c>
      <c r="D63" s="3" t="s">
        <v>33</v>
      </c>
      <c r="E63" s="3" t="s">
        <v>38</v>
      </c>
      <c r="F63" s="3" t="s">
        <v>22</v>
      </c>
      <c r="G63" s="3" t="s">
        <v>63</v>
      </c>
      <c r="H63" s="3">
        <v>8</v>
      </c>
      <c r="I63" s="3">
        <v>18000</v>
      </c>
      <c r="J63" s="3">
        <v>144000</v>
      </c>
      <c r="K63" s="3">
        <v>6</v>
      </c>
      <c r="L63" s="3" t="s">
        <v>18</v>
      </c>
    </row>
    <row r="64" spans="1:12" x14ac:dyDescent="0.3">
      <c r="A64" s="3">
        <v>1063</v>
      </c>
      <c r="B64" s="3" t="s">
        <v>154</v>
      </c>
      <c r="C64" s="3" t="s">
        <v>155</v>
      </c>
      <c r="D64" s="3" t="s">
        <v>46</v>
      </c>
      <c r="E64" s="3" t="s">
        <v>15</v>
      </c>
      <c r="F64" s="3" t="s">
        <v>22</v>
      </c>
      <c r="G64" s="3" t="s">
        <v>27</v>
      </c>
      <c r="H64" s="3">
        <v>9</v>
      </c>
      <c r="I64" s="3">
        <v>2500</v>
      </c>
      <c r="J64" s="3">
        <v>22500</v>
      </c>
      <c r="K64" s="3">
        <v>4</v>
      </c>
      <c r="L64" s="3" t="s">
        <v>24</v>
      </c>
    </row>
    <row r="65" spans="1:12" x14ac:dyDescent="0.3">
      <c r="A65" s="3">
        <v>1064</v>
      </c>
      <c r="B65" s="3" t="s">
        <v>42</v>
      </c>
      <c r="C65" s="3" t="s">
        <v>156</v>
      </c>
      <c r="D65" s="3" t="s">
        <v>33</v>
      </c>
      <c r="E65" s="3" t="s">
        <v>38</v>
      </c>
      <c r="F65" s="3" t="s">
        <v>47</v>
      </c>
      <c r="G65" s="3" t="s">
        <v>48</v>
      </c>
      <c r="H65" s="3">
        <v>3</v>
      </c>
      <c r="I65" s="3">
        <v>3000</v>
      </c>
      <c r="J65" s="3">
        <v>9000</v>
      </c>
      <c r="K65" s="3">
        <v>8</v>
      </c>
      <c r="L65" s="3" t="s">
        <v>18</v>
      </c>
    </row>
    <row r="66" spans="1:12" x14ac:dyDescent="0.3">
      <c r="A66" s="3">
        <v>1065</v>
      </c>
      <c r="B66" s="3" t="s">
        <v>157</v>
      </c>
      <c r="C66" s="3" t="s">
        <v>158</v>
      </c>
      <c r="D66" s="3" t="s">
        <v>21</v>
      </c>
      <c r="E66" s="3" t="s">
        <v>38</v>
      </c>
      <c r="F66" s="3" t="s">
        <v>47</v>
      </c>
      <c r="G66" s="3" t="s">
        <v>70</v>
      </c>
      <c r="H66" s="3">
        <v>8</v>
      </c>
      <c r="I66" s="3">
        <v>1200</v>
      </c>
      <c r="J66" s="3">
        <v>9600</v>
      </c>
      <c r="K66" s="3">
        <v>8</v>
      </c>
      <c r="L66" s="3" t="s">
        <v>18</v>
      </c>
    </row>
    <row r="67" spans="1:12" x14ac:dyDescent="0.3">
      <c r="A67" s="3">
        <v>1066</v>
      </c>
      <c r="B67" s="3" t="s">
        <v>73</v>
      </c>
      <c r="C67" s="3" t="s">
        <v>159</v>
      </c>
      <c r="D67" s="3" t="s">
        <v>21</v>
      </c>
      <c r="E67" s="3" t="s">
        <v>30</v>
      </c>
      <c r="F67" s="3" t="s">
        <v>22</v>
      </c>
      <c r="G67" s="3" t="s">
        <v>23</v>
      </c>
      <c r="H67" s="3">
        <v>10</v>
      </c>
      <c r="I67" s="3">
        <v>55000</v>
      </c>
      <c r="J67" s="3">
        <v>550000</v>
      </c>
      <c r="K67" s="3">
        <v>6</v>
      </c>
      <c r="L67" s="3" t="s">
        <v>18</v>
      </c>
    </row>
    <row r="68" spans="1:12" x14ac:dyDescent="0.3">
      <c r="A68" s="3">
        <v>1067</v>
      </c>
      <c r="B68" s="3" t="s">
        <v>104</v>
      </c>
      <c r="C68" s="3" t="s">
        <v>160</v>
      </c>
      <c r="D68" s="3" t="s">
        <v>33</v>
      </c>
      <c r="E68" s="3" t="s">
        <v>15</v>
      </c>
      <c r="F68" s="3" t="s">
        <v>47</v>
      </c>
      <c r="G68" s="3" t="s">
        <v>60</v>
      </c>
      <c r="H68" s="3">
        <v>8</v>
      </c>
      <c r="I68" s="3">
        <v>4500</v>
      </c>
      <c r="J68" s="3">
        <v>36000</v>
      </c>
      <c r="K68" s="3">
        <v>6</v>
      </c>
      <c r="L68" s="3" t="s">
        <v>18</v>
      </c>
    </row>
    <row r="69" spans="1:12" x14ac:dyDescent="0.3">
      <c r="A69" s="3">
        <v>1068</v>
      </c>
      <c r="B69" s="3" t="s">
        <v>161</v>
      </c>
      <c r="C69" s="3" t="s">
        <v>162</v>
      </c>
      <c r="D69" s="3" t="s">
        <v>46</v>
      </c>
      <c r="E69" s="3" t="s">
        <v>30</v>
      </c>
      <c r="F69" s="3" t="s">
        <v>34</v>
      </c>
      <c r="G69" s="3" t="s">
        <v>35</v>
      </c>
      <c r="H69" s="3">
        <v>7</v>
      </c>
      <c r="I69" s="3">
        <v>600</v>
      </c>
      <c r="J69" s="3">
        <v>4200</v>
      </c>
      <c r="K69" s="3">
        <v>7</v>
      </c>
      <c r="L69" s="3" t="s">
        <v>18</v>
      </c>
    </row>
    <row r="70" spans="1:12" x14ac:dyDescent="0.3">
      <c r="A70" s="3">
        <v>1069</v>
      </c>
      <c r="B70" s="3" t="s">
        <v>163</v>
      </c>
      <c r="C70" s="3" t="s">
        <v>164</v>
      </c>
      <c r="D70" s="3" t="s">
        <v>21</v>
      </c>
      <c r="E70" s="3" t="s">
        <v>15</v>
      </c>
      <c r="F70" s="3" t="s">
        <v>22</v>
      </c>
      <c r="G70" s="3" t="s">
        <v>27</v>
      </c>
      <c r="H70" s="3">
        <v>6</v>
      </c>
      <c r="I70" s="3">
        <v>2500</v>
      </c>
      <c r="J70" s="3">
        <v>15000</v>
      </c>
      <c r="K70" s="3">
        <v>7</v>
      </c>
      <c r="L70" s="3" t="s">
        <v>18</v>
      </c>
    </row>
    <row r="71" spans="1:12" x14ac:dyDescent="0.3">
      <c r="A71" s="3">
        <v>1070</v>
      </c>
      <c r="B71" s="3" t="s">
        <v>165</v>
      </c>
      <c r="C71" s="3" t="s">
        <v>166</v>
      </c>
      <c r="D71" s="3" t="s">
        <v>14</v>
      </c>
      <c r="E71" s="3" t="s">
        <v>15</v>
      </c>
      <c r="F71" s="3" t="s">
        <v>47</v>
      </c>
      <c r="G71" s="3" t="s">
        <v>70</v>
      </c>
      <c r="H71" s="3">
        <v>3</v>
      </c>
      <c r="I71" s="3">
        <v>1200</v>
      </c>
      <c r="J71" s="3">
        <v>3600</v>
      </c>
      <c r="K71" s="3">
        <v>4</v>
      </c>
      <c r="L71" s="3" t="s">
        <v>24</v>
      </c>
    </row>
    <row r="72" spans="1:12" x14ac:dyDescent="0.3">
      <c r="A72" s="3">
        <v>1071</v>
      </c>
      <c r="B72" s="3" t="s">
        <v>167</v>
      </c>
      <c r="C72" s="3" t="s">
        <v>168</v>
      </c>
      <c r="D72" s="3" t="s">
        <v>33</v>
      </c>
      <c r="E72" s="3" t="s">
        <v>30</v>
      </c>
      <c r="F72" s="3" t="s">
        <v>16</v>
      </c>
      <c r="G72" s="3" t="s">
        <v>17</v>
      </c>
      <c r="H72" s="3">
        <v>5</v>
      </c>
      <c r="I72" s="3">
        <v>1500</v>
      </c>
      <c r="J72" s="3">
        <v>7500</v>
      </c>
      <c r="K72" s="3">
        <v>1</v>
      </c>
      <c r="L72" s="3" t="s">
        <v>24</v>
      </c>
    </row>
    <row r="73" spans="1:12" x14ac:dyDescent="0.3">
      <c r="A73" s="3">
        <v>1072</v>
      </c>
      <c r="B73" s="3" t="s">
        <v>79</v>
      </c>
      <c r="C73" s="3" t="s">
        <v>169</v>
      </c>
      <c r="D73" s="3" t="s">
        <v>14</v>
      </c>
      <c r="E73" s="3" t="s">
        <v>15</v>
      </c>
      <c r="F73" s="3" t="s">
        <v>47</v>
      </c>
      <c r="G73" s="3" t="s">
        <v>70</v>
      </c>
      <c r="H73" s="3">
        <v>1</v>
      </c>
      <c r="I73" s="3">
        <v>1200</v>
      </c>
      <c r="J73" s="3">
        <v>1200</v>
      </c>
      <c r="K73" s="3">
        <v>3</v>
      </c>
      <c r="L73" s="3" t="s">
        <v>24</v>
      </c>
    </row>
    <row r="74" spans="1:12" x14ac:dyDescent="0.3">
      <c r="A74" s="3">
        <v>1073</v>
      </c>
      <c r="B74" s="3" t="s">
        <v>170</v>
      </c>
      <c r="C74" s="3" t="s">
        <v>171</v>
      </c>
      <c r="D74" s="3" t="s">
        <v>46</v>
      </c>
      <c r="E74" s="3" t="s">
        <v>15</v>
      </c>
      <c r="F74" s="3" t="s">
        <v>34</v>
      </c>
      <c r="G74" s="3" t="s">
        <v>53</v>
      </c>
      <c r="H74" s="3">
        <v>9</v>
      </c>
      <c r="I74" s="3">
        <v>1200</v>
      </c>
      <c r="J74" s="3">
        <v>10800</v>
      </c>
      <c r="K74" s="3">
        <v>3</v>
      </c>
      <c r="L74" s="3" t="s">
        <v>24</v>
      </c>
    </row>
    <row r="75" spans="1:12" x14ac:dyDescent="0.3">
      <c r="A75" s="3">
        <v>1074</v>
      </c>
      <c r="B75" s="3" t="s">
        <v>12</v>
      </c>
      <c r="C75" s="3" t="s">
        <v>172</v>
      </c>
      <c r="D75" s="3" t="s">
        <v>14</v>
      </c>
      <c r="E75" s="3" t="s">
        <v>38</v>
      </c>
      <c r="F75" s="3" t="s">
        <v>22</v>
      </c>
      <c r="G75" s="3" t="s">
        <v>27</v>
      </c>
      <c r="H75" s="3">
        <v>2</v>
      </c>
      <c r="I75" s="3">
        <v>2500</v>
      </c>
      <c r="J75" s="3">
        <v>5000</v>
      </c>
      <c r="K75" s="3">
        <v>1</v>
      </c>
      <c r="L75" s="3" t="s">
        <v>24</v>
      </c>
    </row>
    <row r="76" spans="1:12" x14ac:dyDescent="0.3">
      <c r="A76" s="3">
        <v>1075</v>
      </c>
      <c r="B76" s="3" t="s">
        <v>157</v>
      </c>
      <c r="C76" s="3" t="s">
        <v>173</v>
      </c>
      <c r="D76" s="3" t="s">
        <v>46</v>
      </c>
      <c r="E76" s="3" t="s">
        <v>38</v>
      </c>
      <c r="F76" s="3" t="s">
        <v>34</v>
      </c>
      <c r="G76" s="3" t="s">
        <v>92</v>
      </c>
      <c r="H76" s="3">
        <v>6</v>
      </c>
      <c r="I76" s="3">
        <v>1800</v>
      </c>
      <c r="J76" s="3">
        <v>10800</v>
      </c>
      <c r="K76" s="3">
        <v>5</v>
      </c>
      <c r="L76" s="3" t="s">
        <v>18</v>
      </c>
    </row>
    <row r="77" spans="1:12" x14ac:dyDescent="0.3">
      <c r="A77" s="3">
        <v>1076</v>
      </c>
      <c r="B77" s="3" t="s">
        <v>174</v>
      </c>
      <c r="C77" s="3" t="s">
        <v>175</v>
      </c>
      <c r="D77" s="3" t="s">
        <v>33</v>
      </c>
      <c r="E77" s="3" t="s">
        <v>30</v>
      </c>
      <c r="F77" s="3" t="s">
        <v>34</v>
      </c>
      <c r="G77" s="3" t="s">
        <v>35</v>
      </c>
      <c r="H77" s="3">
        <v>8</v>
      </c>
      <c r="I77" s="3">
        <v>600</v>
      </c>
      <c r="J77" s="3">
        <v>4800</v>
      </c>
      <c r="K77" s="3">
        <v>4</v>
      </c>
      <c r="L77" s="3" t="s">
        <v>24</v>
      </c>
    </row>
    <row r="78" spans="1:12" x14ac:dyDescent="0.3">
      <c r="A78" s="3">
        <v>1077</v>
      </c>
      <c r="B78" s="3" t="s">
        <v>176</v>
      </c>
      <c r="C78" s="3" t="s">
        <v>177</v>
      </c>
      <c r="D78" s="3" t="s">
        <v>33</v>
      </c>
      <c r="E78" s="3" t="s">
        <v>38</v>
      </c>
      <c r="F78" s="3" t="s">
        <v>34</v>
      </c>
      <c r="G78" s="3" t="s">
        <v>53</v>
      </c>
      <c r="H78" s="3">
        <v>2</v>
      </c>
      <c r="I78" s="3">
        <v>1200</v>
      </c>
      <c r="J78" s="3">
        <v>2400</v>
      </c>
      <c r="K78" s="3">
        <v>6</v>
      </c>
      <c r="L78" s="3" t="s">
        <v>18</v>
      </c>
    </row>
    <row r="79" spans="1:12" x14ac:dyDescent="0.3">
      <c r="A79" s="3">
        <v>1078</v>
      </c>
      <c r="B79" s="3" t="s">
        <v>85</v>
      </c>
      <c r="C79" s="3" t="s">
        <v>178</v>
      </c>
      <c r="D79" s="3" t="s">
        <v>46</v>
      </c>
      <c r="E79" s="3" t="s">
        <v>30</v>
      </c>
      <c r="F79" s="3" t="s">
        <v>16</v>
      </c>
      <c r="G79" s="3" t="s">
        <v>87</v>
      </c>
      <c r="H79" s="3">
        <v>9</v>
      </c>
      <c r="I79" s="3">
        <v>6500</v>
      </c>
      <c r="J79" s="3">
        <v>58500</v>
      </c>
      <c r="K79" s="3">
        <v>4</v>
      </c>
      <c r="L79" s="3" t="s">
        <v>24</v>
      </c>
    </row>
    <row r="80" spans="1:12" x14ac:dyDescent="0.3">
      <c r="A80" s="3">
        <v>1079</v>
      </c>
      <c r="B80" s="3" t="s">
        <v>179</v>
      </c>
      <c r="C80" s="3" t="s">
        <v>180</v>
      </c>
      <c r="D80" s="3" t="s">
        <v>33</v>
      </c>
      <c r="E80" s="3" t="s">
        <v>30</v>
      </c>
      <c r="F80" s="3" t="s">
        <v>16</v>
      </c>
      <c r="G80" s="3" t="s">
        <v>17</v>
      </c>
      <c r="H80" s="3">
        <v>2</v>
      </c>
      <c r="I80" s="3">
        <v>1500</v>
      </c>
      <c r="J80" s="3">
        <v>3000</v>
      </c>
      <c r="K80" s="3">
        <v>1</v>
      </c>
      <c r="L80" s="3" t="s">
        <v>24</v>
      </c>
    </row>
    <row r="81" spans="1:12" x14ac:dyDescent="0.3">
      <c r="A81" s="3">
        <v>1080</v>
      </c>
      <c r="B81" s="3" t="s">
        <v>181</v>
      </c>
      <c r="C81" s="3" t="s">
        <v>182</v>
      </c>
      <c r="D81" s="3" t="s">
        <v>33</v>
      </c>
      <c r="E81" s="3" t="s">
        <v>38</v>
      </c>
      <c r="F81" s="3" t="s">
        <v>34</v>
      </c>
      <c r="G81" s="3" t="s">
        <v>92</v>
      </c>
      <c r="H81" s="3">
        <v>8</v>
      </c>
      <c r="I81" s="3">
        <v>1800</v>
      </c>
      <c r="J81" s="3">
        <v>14400</v>
      </c>
      <c r="K81" s="3">
        <v>1</v>
      </c>
      <c r="L81" s="3" t="s">
        <v>24</v>
      </c>
    </row>
    <row r="82" spans="1:12" x14ac:dyDescent="0.3">
      <c r="A82" s="3">
        <v>1081</v>
      </c>
      <c r="B82" s="3" t="s">
        <v>183</v>
      </c>
      <c r="C82" s="3" t="s">
        <v>184</v>
      </c>
      <c r="D82" s="3" t="s">
        <v>46</v>
      </c>
      <c r="E82" s="3" t="s">
        <v>38</v>
      </c>
      <c r="F82" s="3" t="s">
        <v>16</v>
      </c>
      <c r="G82" s="3" t="s">
        <v>39</v>
      </c>
      <c r="H82" s="3">
        <v>2</v>
      </c>
      <c r="I82" s="3">
        <v>3500</v>
      </c>
      <c r="J82" s="3">
        <v>7000</v>
      </c>
      <c r="K82" s="3">
        <v>1</v>
      </c>
      <c r="L82" s="3" t="s">
        <v>24</v>
      </c>
    </row>
    <row r="83" spans="1:12" x14ac:dyDescent="0.3">
      <c r="A83" s="3">
        <v>1082</v>
      </c>
      <c r="B83" s="3" t="s">
        <v>102</v>
      </c>
      <c r="C83" s="3" t="s">
        <v>185</v>
      </c>
      <c r="D83" s="3" t="s">
        <v>46</v>
      </c>
      <c r="E83" s="3" t="s">
        <v>30</v>
      </c>
      <c r="F83" s="3" t="s">
        <v>16</v>
      </c>
      <c r="G83" s="3" t="s">
        <v>17</v>
      </c>
      <c r="H83" s="3">
        <v>8</v>
      </c>
      <c r="I83" s="3">
        <v>1500</v>
      </c>
      <c r="J83" s="3">
        <v>12000</v>
      </c>
      <c r="K83" s="3">
        <v>3</v>
      </c>
      <c r="L83" s="3" t="s">
        <v>24</v>
      </c>
    </row>
    <row r="84" spans="1:12" x14ac:dyDescent="0.3">
      <c r="A84" s="3">
        <v>1083</v>
      </c>
      <c r="B84" s="3" t="s">
        <v>186</v>
      </c>
      <c r="C84" s="3" t="s">
        <v>187</v>
      </c>
      <c r="D84" s="3" t="s">
        <v>14</v>
      </c>
      <c r="E84" s="3" t="s">
        <v>38</v>
      </c>
      <c r="F84" s="3" t="s">
        <v>34</v>
      </c>
      <c r="G84" s="3" t="s">
        <v>53</v>
      </c>
      <c r="H84" s="3">
        <v>5</v>
      </c>
      <c r="I84" s="3">
        <v>1200</v>
      </c>
      <c r="J84" s="3">
        <v>6000</v>
      </c>
      <c r="K84" s="3">
        <v>5</v>
      </c>
      <c r="L84" s="3" t="s">
        <v>18</v>
      </c>
    </row>
    <row r="85" spans="1:12" x14ac:dyDescent="0.3">
      <c r="A85" s="3">
        <v>1084</v>
      </c>
      <c r="B85" s="3" t="s">
        <v>42</v>
      </c>
      <c r="C85" s="3" t="s">
        <v>188</v>
      </c>
      <c r="D85" s="3" t="s">
        <v>14</v>
      </c>
      <c r="E85" s="3" t="s">
        <v>15</v>
      </c>
      <c r="F85" s="3" t="s">
        <v>16</v>
      </c>
      <c r="G85" s="3" t="s">
        <v>87</v>
      </c>
      <c r="H85" s="3">
        <v>6</v>
      </c>
      <c r="I85" s="3">
        <v>6500</v>
      </c>
      <c r="J85" s="3">
        <v>39000</v>
      </c>
      <c r="K85" s="3">
        <v>3</v>
      </c>
      <c r="L85" s="3" t="s">
        <v>24</v>
      </c>
    </row>
    <row r="86" spans="1:12" x14ac:dyDescent="0.3">
      <c r="A86" s="3">
        <v>1085</v>
      </c>
      <c r="B86" s="3" t="s">
        <v>189</v>
      </c>
      <c r="C86" s="3" t="s">
        <v>190</v>
      </c>
      <c r="D86" s="3" t="s">
        <v>46</v>
      </c>
      <c r="E86" s="3" t="s">
        <v>30</v>
      </c>
      <c r="F86" s="3" t="s">
        <v>22</v>
      </c>
      <c r="G86" s="3" t="s">
        <v>23</v>
      </c>
      <c r="H86" s="3">
        <v>6</v>
      </c>
      <c r="I86" s="3">
        <v>55000</v>
      </c>
      <c r="J86" s="3">
        <v>330000</v>
      </c>
      <c r="K86" s="3">
        <v>1</v>
      </c>
      <c r="L86" s="3" t="s">
        <v>24</v>
      </c>
    </row>
    <row r="87" spans="1:12" x14ac:dyDescent="0.3">
      <c r="A87" s="3">
        <v>1086</v>
      </c>
      <c r="B87" s="3" t="s">
        <v>189</v>
      </c>
      <c r="C87" s="3" t="s">
        <v>191</v>
      </c>
      <c r="D87" s="3" t="s">
        <v>14</v>
      </c>
      <c r="E87" s="3" t="s">
        <v>15</v>
      </c>
      <c r="F87" s="3" t="s">
        <v>47</v>
      </c>
      <c r="G87" s="3" t="s">
        <v>70</v>
      </c>
      <c r="H87" s="3">
        <v>4</v>
      </c>
      <c r="I87" s="3">
        <v>1200</v>
      </c>
      <c r="J87" s="3">
        <v>4800</v>
      </c>
      <c r="K87" s="3">
        <v>7</v>
      </c>
      <c r="L87" s="3" t="s">
        <v>18</v>
      </c>
    </row>
    <row r="88" spans="1:12" x14ac:dyDescent="0.3">
      <c r="A88" s="3">
        <v>1087</v>
      </c>
      <c r="B88" s="3" t="s">
        <v>192</v>
      </c>
      <c r="C88" s="3" t="s">
        <v>193</v>
      </c>
      <c r="D88" s="3" t="s">
        <v>46</v>
      </c>
      <c r="E88" s="3" t="s">
        <v>15</v>
      </c>
      <c r="F88" s="3" t="s">
        <v>22</v>
      </c>
      <c r="G88" s="3" t="s">
        <v>23</v>
      </c>
      <c r="H88" s="3">
        <v>9</v>
      </c>
      <c r="I88" s="3">
        <v>55000</v>
      </c>
      <c r="J88" s="3">
        <v>495000</v>
      </c>
      <c r="K88" s="3">
        <v>4</v>
      </c>
      <c r="L88" s="3" t="s">
        <v>24</v>
      </c>
    </row>
    <row r="89" spans="1:12" x14ac:dyDescent="0.3">
      <c r="A89" s="3">
        <v>1088</v>
      </c>
      <c r="B89" s="3" t="s">
        <v>194</v>
      </c>
      <c r="C89" s="3" t="s">
        <v>195</v>
      </c>
      <c r="D89" s="3" t="s">
        <v>14</v>
      </c>
      <c r="E89" s="3" t="s">
        <v>15</v>
      </c>
      <c r="F89" s="3" t="s">
        <v>34</v>
      </c>
      <c r="G89" s="3" t="s">
        <v>35</v>
      </c>
      <c r="H89" s="3">
        <v>7</v>
      </c>
      <c r="I89" s="3">
        <v>600</v>
      </c>
      <c r="J89" s="3">
        <v>4200</v>
      </c>
      <c r="K89" s="3">
        <v>7</v>
      </c>
      <c r="L89" s="3" t="s">
        <v>18</v>
      </c>
    </row>
    <row r="90" spans="1:12" x14ac:dyDescent="0.3">
      <c r="A90" s="3">
        <v>1089</v>
      </c>
      <c r="B90" s="3" t="s">
        <v>196</v>
      </c>
      <c r="C90" s="3" t="s">
        <v>197</v>
      </c>
      <c r="D90" s="3" t="s">
        <v>14</v>
      </c>
      <c r="E90" s="3" t="s">
        <v>30</v>
      </c>
      <c r="F90" s="3" t="s">
        <v>16</v>
      </c>
      <c r="G90" s="3" t="s">
        <v>39</v>
      </c>
      <c r="H90" s="3">
        <v>3</v>
      </c>
      <c r="I90" s="3">
        <v>3500</v>
      </c>
      <c r="J90" s="3">
        <v>10500</v>
      </c>
      <c r="K90" s="3">
        <v>4</v>
      </c>
      <c r="L90" s="3" t="s">
        <v>24</v>
      </c>
    </row>
    <row r="91" spans="1:12" x14ac:dyDescent="0.3">
      <c r="A91" s="3">
        <v>1090</v>
      </c>
      <c r="B91" s="3" t="s">
        <v>198</v>
      </c>
      <c r="C91" s="3" t="s">
        <v>199</v>
      </c>
      <c r="D91" s="3" t="s">
        <v>33</v>
      </c>
      <c r="E91" s="3" t="s">
        <v>38</v>
      </c>
      <c r="F91" s="3" t="s">
        <v>47</v>
      </c>
      <c r="G91" s="3" t="s">
        <v>48</v>
      </c>
      <c r="H91" s="3">
        <v>3</v>
      </c>
      <c r="I91" s="3">
        <v>3000</v>
      </c>
      <c r="J91" s="3">
        <v>9000</v>
      </c>
      <c r="K91" s="3">
        <v>5</v>
      </c>
      <c r="L91" s="3" t="s">
        <v>18</v>
      </c>
    </row>
    <row r="92" spans="1:12" x14ac:dyDescent="0.3">
      <c r="A92" s="3">
        <v>1091</v>
      </c>
      <c r="B92" s="3" t="s">
        <v>71</v>
      </c>
      <c r="C92" s="3" t="s">
        <v>200</v>
      </c>
      <c r="D92" s="3" t="s">
        <v>46</v>
      </c>
      <c r="E92" s="3" t="s">
        <v>38</v>
      </c>
      <c r="F92" s="3" t="s">
        <v>16</v>
      </c>
      <c r="G92" s="3" t="s">
        <v>87</v>
      </c>
      <c r="H92" s="3">
        <v>2</v>
      </c>
      <c r="I92" s="3">
        <v>6500</v>
      </c>
      <c r="J92" s="3">
        <v>13000</v>
      </c>
      <c r="K92" s="3">
        <v>5</v>
      </c>
      <c r="L92" s="3" t="s">
        <v>18</v>
      </c>
    </row>
    <row r="93" spans="1:12" x14ac:dyDescent="0.3">
      <c r="A93" s="3">
        <v>1092</v>
      </c>
      <c r="B93" s="3" t="s">
        <v>25</v>
      </c>
      <c r="C93" s="3" t="s">
        <v>201</v>
      </c>
      <c r="D93" s="3" t="s">
        <v>46</v>
      </c>
      <c r="E93" s="3" t="s">
        <v>30</v>
      </c>
      <c r="F93" s="3" t="s">
        <v>47</v>
      </c>
      <c r="G93" s="3" t="s">
        <v>60</v>
      </c>
      <c r="H93" s="3">
        <v>9</v>
      </c>
      <c r="I93" s="3">
        <v>4500</v>
      </c>
      <c r="J93" s="3">
        <v>40500</v>
      </c>
      <c r="K93" s="3">
        <v>4</v>
      </c>
      <c r="L93" s="3" t="s">
        <v>24</v>
      </c>
    </row>
    <row r="94" spans="1:12" x14ac:dyDescent="0.3">
      <c r="A94" s="3">
        <v>1093</v>
      </c>
      <c r="B94" s="3" t="s">
        <v>202</v>
      </c>
      <c r="C94" s="3" t="s">
        <v>203</v>
      </c>
      <c r="D94" s="3" t="s">
        <v>21</v>
      </c>
      <c r="E94" s="3" t="s">
        <v>15</v>
      </c>
      <c r="F94" s="3" t="s">
        <v>22</v>
      </c>
      <c r="G94" s="3" t="s">
        <v>23</v>
      </c>
      <c r="H94" s="3">
        <v>5</v>
      </c>
      <c r="I94" s="3">
        <v>55000</v>
      </c>
      <c r="J94" s="3">
        <v>275000</v>
      </c>
      <c r="K94" s="3">
        <v>2</v>
      </c>
      <c r="L94" s="3" t="s">
        <v>24</v>
      </c>
    </row>
    <row r="95" spans="1:12" x14ac:dyDescent="0.3">
      <c r="A95" s="3">
        <v>1094</v>
      </c>
      <c r="B95" s="3" t="s">
        <v>28</v>
      </c>
      <c r="C95" s="3" t="s">
        <v>204</v>
      </c>
      <c r="D95" s="3" t="s">
        <v>14</v>
      </c>
      <c r="E95" s="3" t="s">
        <v>15</v>
      </c>
      <c r="F95" s="3" t="s">
        <v>34</v>
      </c>
      <c r="G95" s="3" t="s">
        <v>92</v>
      </c>
      <c r="H95" s="3">
        <v>6</v>
      </c>
      <c r="I95" s="3">
        <v>1800</v>
      </c>
      <c r="J95" s="3">
        <v>10800</v>
      </c>
      <c r="K95" s="3">
        <v>3</v>
      </c>
      <c r="L95" s="3" t="s">
        <v>24</v>
      </c>
    </row>
    <row r="96" spans="1:12" x14ac:dyDescent="0.3">
      <c r="A96" s="3">
        <v>1095</v>
      </c>
      <c r="B96" s="3" t="s">
        <v>205</v>
      </c>
      <c r="C96" s="3" t="s">
        <v>206</v>
      </c>
      <c r="D96" s="3" t="s">
        <v>21</v>
      </c>
      <c r="E96" s="3" t="s">
        <v>38</v>
      </c>
      <c r="F96" s="3" t="s">
        <v>16</v>
      </c>
      <c r="G96" s="3" t="s">
        <v>17</v>
      </c>
      <c r="H96" s="3">
        <v>7</v>
      </c>
      <c r="I96" s="3">
        <v>1500</v>
      </c>
      <c r="J96" s="3">
        <v>10500</v>
      </c>
      <c r="K96" s="3">
        <v>6</v>
      </c>
      <c r="L96" s="3" t="s">
        <v>18</v>
      </c>
    </row>
    <row r="97" spans="1:12" x14ac:dyDescent="0.3">
      <c r="A97" s="3">
        <v>1096</v>
      </c>
      <c r="B97" s="3" t="s">
        <v>28</v>
      </c>
      <c r="C97" s="3" t="s">
        <v>207</v>
      </c>
      <c r="D97" s="3" t="s">
        <v>21</v>
      </c>
      <c r="E97" s="3" t="s">
        <v>15</v>
      </c>
      <c r="F97" s="3" t="s">
        <v>16</v>
      </c>
      <c r="G97" s="3" t="s">
        <v>39</v>
      </c>
      <c r="H97" s="3">
        <v>4</v>
      </c>
      <c r="I97" s="3">
        <v>3500</v>
      </c>
      <c r="J97" s="3">
        <v>14000</v>
      </c>
      <c r="K97" s="3">
        <v>2</v>
      </c>
      <c r="L97" s="3" t="s">
        <v>24</v>
      </c>
    </row>
    <row r="98" spans="1:12" x14ac:dyDescent="0.3">
      <c r="A98" s="3">
        <v>1097</v>
      </c>
      <c r="B98" s="3" t="s">
        <v>36</v>
      </c>
      <c r="C98" s="3" t="s">
        <v>208</v>
      </c>
      <c r="D98" s="3" t="s">
        <v>14</v>
      </c>
      <c r="E98" s="3" t="s">
        <v>38</v>
      </c>
      <c r="F98" s="3" t="s">
        <v>34</v>
      </c>
      <c r="G98" s="3" t="s">
        <v>92</v>
      </c>
      <c r="H98" s="3">
        <v>7</v>
      </c>
      <c r="I98" s="3">
        <v>1800</v>
      </c>
      <c r="J98" s="3">
        <v>12600</v>
      </c>
      <c r="K98" s="3">
        <v>5</v>
      </c>
      <c r="L98" s="3" t="s">
        <v>18</v>
      </c>
    </row>
    <row r="99" spans="1:12" x14ac:dyDescent="0.3">
      <c r="A99" s="3">
        <v>1098</v>
      </c>
      <c r="B99" s="3" t="s">
        <v>209</v>
      </c>
      <c r="C99" s="3" t="s">
        <v>210</v>
      </c>
      <c r="D99" s="3" t="s">
        <v>21</v>
      </c>
      <c r="E99" s="3" t="s">
        <v>15</v>
      </c>
      <c r="F99" s="3" t="s">
        <v>34</v>
      </c>
      <c r="G99" s="3" t="s">
        <v>92</v>
      </c>
      <c r="H99" s="3">
        <v>9</v>
      </c>
      <c r="I99" s="3">
        <v>1800</v>
      </c>
      <c r="J99" s="3">
        <v>16200</v>
      </c>
      <c r="K99" s="3">
        <v>4</v>
      </c>
      <c r="L99" s="3" t="s">
        <v>24</v>
      </c>
    </row>
    <row r="100" spans="1:12" x14ac:dyDescent="0.3">
      <c r="A100" s="3">
        <v>1099</v>
      </c>
      <c r="B100" s="3" t="s">
        <v>211</v>
      </c>
      <c r="C100" s="3" t="s">
        <v>212</v>
      </c>
      <c r="D100" s="3" t="s">
        <v>14</v>
      </c>
      <c r="E100" s="3" t="s">
        <v>38</v>
      </c>
      <c r="F100" s="3" t="s">
        <v>47</v>
      </c>
      <c r="G100" s="3" t="s">
        <v>70</v>
      </c>
      <c r="H100" s="3">
        <v>5</v>
      </c>
      <c r="I100" s="3">
        <v>1200</v>
      </c>
      <c r="J100" s="3">
        <v>6000</v>
      </c>
      <c r="K100" s="3">
        <v>8</v>
      </c>
      <c r="L100" s="3" t="s">
        <v>18</v>
      </c>
    </row>
    <row r="101" spans="1:12" x14ac:dyDescent="0.3">
      <c r="A101" s="3">
        <v>1100</v>
      </c>
      <c r="B101" s="3" t="s">
        <v>134</v>
      </c>
      <c r="C101" s="3" t="s">
        <v>213</v>
      </c>
      <c r="D101" s="3" t="s">
        <v>46</v>
      </c>
      <c r="E101" s="3" t="s">
        <v>38</v>
      </c>
      <c r="F101" s="3" t="s">
        <v>47</v>
      </c>
      <c r="G101" s="3" t="s">
        <v>60</v>
      </c>
      <c r="H101" s="3">
        <v>1</v>
      </c>
      <c r="I101" s="3">
        <v>4500</v>
      </c>
      <c r="J101" s="3">
        <v>4500</v>
      </c>
      <c r="K101" s="3">
        <v>3</v>
      </c>
      <c r="L101" s="3" t="s">
        <v>24</v>
      </c>
    </row>
  </sheetData>
  <pageMargins left="0.75" right="0.75" top="1" bottom="1" header="0.5" footer="0.5"/>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A3223-55E9-4826-957C-BC98A316A315}">
  <dimension ref="A3:L22"/>
  <sheetViews>
    <sheetView topLeftCell="D10" workbookViewId="0">
      <selection activeCell="A17" sqref="A17:B20"/>
    </sheetView>
  </sheetViews>
  <sheetFormatPr defaultRowHeight="14.4" x14ac:dyDescent="0.3"/>
  <cols>
    <col min="1" max="1" width="17.33203125" bestFit="1" customWidth="1"/>
    <col min="2" max="2" width="15.5546875" bestFit="1" customWidth="1"/>
    <col min="5" max="5" width="17.33203125" bestFit="1" customWidth="1"/>
    <col min="6" max="6" width="24" bestFit="1" customWidth="1"/>
    <col min="7" max="7" width="7.109375" bestFit="1" customWidth="1"/>
    <col min="8" max="8" width="13.109375" bestFit="1" customWidth="1"/>
    <col min="9" max="9" width="17.33203125" bestFit="1" customWidth="1"/>
    <col min="11" max="11" width="12.5546875" bestFit="1" customWidth="1"/>
    <col min="12" max="12" width="16.44140625" bestFit="1" customWidth="1"/>
  </cols>
  <sheetData>
    <row r="3" spans="1:12" x14ac:dyDescent="0.3">
      <c r="A3" t="s">
        <v>216</v>
      </c>
    </row>
    <row r="4" spans="1:12" x14ac:dyDescent="0.3">
      <c r="A4">
        <v>100</v>
      </c>
    </row>
    <row r="6" spans="1:12" x14ac:dyDescent="0.3">
      <c r="F6" s="4" t="s">
        <v>11</v>
      </c>
      <c r="G6" t="s">
        <v>218</v>
      </c>
    </row>
    <row r="8" spans="1:12" x14ac:dyDescent="0.3">
      <c r="F8" t="s">
        <v>216</v>
      </c>
    </row>
    <row r="9" spans="1:12" x14ac:dyDescent="0.3">
      <c r="F9">
        <v>100</v>
      </c>
    </row>
    <row r="12" spans="1:12" x14ac:dyDescent="0.3">
      <c r="A12" t="s">
        <v>216</v>
      </c>
      <c r="B12" t="s">
        <v>217</v>
      </c>
    </row>
    <row r="13" spans="1:12" x14ac:dyDescent="0.3">
      <c r="A13">
        <v>100</v>
      </c>
      <c r="B13">
        <v>4427600</v>
      </c>
    </row>
    <row r="15" spans="1:12" x14ac:dyDescent="0.3">
      <c r="F15" t="s">
        <v>219</v>
      </c>
      <c r="K15" s="4" t="s">
        <v>214</v>
      </c>
      <c r="L15" t="s">
        <v>216</v>
      </c>
    </row>
    <row r="16" spans="1:12" x14ac:dyDescent="0.3">
      <c r="F16">
        <v>4.37</v>
      </c>
      <c r="K16" s="5" t="s">
        <v>18</v>
      </c>
      <c r="L16" s="6">
        <v>48</v>
      </c>
    </row>
    <row r="17" spans="1:12" x14ac:dyDescent="0.3">
      <c r="A17" s="4" t="s">
        <v>214</v>
      </c>
      <c r="B17" t="s">
        <v>216</v>
      </c>
      <c r="K17" s="5" t="s">
        <v>24</v>
      </c>
      <c r="L17" s="6">
        <v>52</v>
      </c>
    </row>
    <row r="18" spans="1:12" x14ac:dyDescent="0.3">
      <c r="A18" s="5" t="s">
        <v>18</v>
      </c>
      <c r="B18">
        <v>48</v>
      </c>
      <c r="K18" s="5" t="s">
        <v>215</v>
      </c>
      <c r="L18" s="6">
        <v>100</v>
      </c>
    </row>
    <row r="19" spans="1:12" x14ac:dyDescent="0.3">
      <c r="A19" s="5" t="s">
        <v>24</v>
      </c>
      <c r="B19">
        <v>52</v>
      </c>
      <c r="H19" s="4" t="s">
        <v>214</v>
      </c>
      <c r="I19" t="s">
        <v>216</v>
      </c>
    </row>
    <row r="20" spans="1:12" x14ac:dyDescent="0.3">
      <c r="A20" s="5" t="s">
        <v>215</v>
      </c>
      <c r="B20">
        <v>100</v>
      </c>
      <c r="H20" s="5" t="s">
        <v>18</v>
      </c>
      <c r="I20">
        <v>48</v>
      </c>
    </row>
    <row r="21" spans="1:12" x14ac:dyDescent="0.3">
      <c r="H21" s="5" t="s">
        <v>24</v>
      </c>
      <c r="I21">
        <v>52</v>
      </c>
    </row>
    <row r="22" spans="1:12" x14ac:dyDescent="0.3">
      <c r="H22" s="5" t="s">
        <v>215</v>
      </c>
      <c r="I22">
        <v>100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Supply_Chain_Data</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Satendra Kumar</cp:lastModifiedBy>
  <dcterms:created xsi:type="dcterms:W3CDTF">2026-08-01T16:14:39Z</dcterms:created>
  <dcterms:modified xsi:type="dcterms:W3CDTF">2026-08-10T04:45:23Z</dcterms:modified>
</cp:coreProperties>
</file>